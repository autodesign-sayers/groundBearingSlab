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https://costaingroup.sharepoint.com/sites/CostainLabs/Shared Documents/AutoDesign/02-Workstreams/18-Ground Bearing Slab/AutoCalcs - TEDDS/"/>
    </mc:Choice>
  </mc:AlternateContent>
  <xr:revisionPtr revIDLastSave="1837" documentId="8_{858180E6-25D7-412B-92DE-0B25E3E342FE}" xr6:coauthVersionLast="46" xr6:coauthVersionMax="46" xr10:uidLastSave="{9A2CBC44-79FA-4A60-8C4E-0B4A6AF424DD}"/>
  <bookViews>
    <workbookView xWindow="14955" yWindow="3930" windowWidth="29070" windowHeight="15600" tabRatio="763" firstSheet="54" activeTab="54" xr2:uid="{00000000-000D-0000-FFFF-FFFF00000000}"/>
  </bookViews>
  <sheets>
    <sheet name="Examples" sheetId="5" state="hidden" r:id="rId1"/>
    <sheet name="Steel beam torsion input (EC)" sheetId="80" state="hidden" r:id="rId2"/>
    <sheet name="Steel beam torsion output (EC)" sheetId="81" state="hidden" r:id="rId3"/>
    <sheet name="Hollowcore input (EN1992)" sheetId="78" state="hidden" r:id="rId4"/>
    <sheet name="Hollowcore output (EN1992)" sheetId="79" state="hidden" r:id="rId5"/>
    <sheet name="Precast splice input (EN1992)" sheetId="75" state="hidden" r:id="rId6"/>
    <sheet name="Precast splice output (EN1992)" sheetId="77" state="hidden" r:id="rId7"/>
    <sheet name="Flitch input (NDS)" sheetId="73" state="hidden" r:id="rId8"/>
    <sheet name="Flitch output (NDS)" sheetId="74" state="hidden" r:id="rId9"/>
    <sheet name="Sawn lumber input (NDS)" sheetId="71" state="hidden" r:id="rId10"/>
    <sheet name="Sawn lumber output (NDS)" sheetId="72" state="hidden" r:id="rId11"/>
    <sheet name="Pile cap steel input (EC)" sheetId="69" state="hidden" r:id="rId12"/>
    <sheet name="Pile cap steel output (EC)" sheetId="70" state="hidden" r:id="rId13"/>
    <sheet name="Pile cap concrete input (EC)" sheetId="67" state="hidden" r:id="rId14"/>
    <sheet name="Pile cap concrete output (EC)" sheetId="68" state="hidden" r:id="rId15"/>
    <sheet name="RC column input (EN1992)" sheetId="62" state="hidden" r:id="rId16"/>
    <sheet name="RC column output (EN1992)" sheetId="61" state="hidden" r:id="rId17"/>
    <sheet name="Pile cap concrete input (ACI)" sheetId="65" state="hidden" r:id="rId18"/>
    <sheet name="Pile cap concrete output (ACI)" sheetId="66" state="hidden" r:id="rId19"/>
    <sheet name="Pile cap steel input (ACI)" sheetId="63" state="hidden" r:id="rId20"/>
    <sheet name="Pile cap steel output (ACI)" sheetId="64" state="hidden" r:id="rId21"/>
    <sheet name="RC nib input (EN1992)" sheetId="58" state="hidden" r:id="rId22"/>
    <sheet name="RC nib output (EN1992)" sheetId="59" state="hidden" r:id="rId23"/>
    <sheet name="RC beam torsion design (EN1992)" sheetId="57" state="hidden" r:id="rId24"/>
    <sheet name="Half-joint input (EN1992)" sheetId="55" state="hidden" r:id="rId25"/>
    <sheet name="Half-joint output (EN1992)" sheetId="56" state="hidden" r:id="rId26"/>
    <sheet name="Precast bearing input (EN1992)" sheetId="53" state="hidden" r:id="rId27"/>
    <sheet name="Precast bearing output (EN1992)" sheetId="54" state="hidden" r:id="rId28"/>
    <sheet name="RC stair input (EN1992)" sheetId="51" state="hidden" r:id="rId29"/>
    <sheet name="RC stair output (EN1992)" sheetId="52" state="hidden" r:id="rId30"/>
    <sheet name="Precast stair input (EN1992)" sheetId="49" state="hidden" r:id="rId31"/>
    <sheet name="Precast stair output (EN1992)" sheetId="50" state="hidden" r:id="rId32"/>
    <sheet name="Precast wall input (EN1992)" sheetId="47" state="hidden" r:id="rId33"/>
    <sheet name="Precast wall output (EN1992)" sheetId="48" state="hidden" r:id="rId34"/>
    <sheet name="Precast column input (EN1992)" sheetId="45" state="hidden" r:id="rId35"/>
    <sheet name="Precast column output (EN1992)" sheetId="46" state="hidden" r:id="rId36"/>
    <sheet name="Precast beam input (EN1992)" sheetId="43" state="hidden" r:id="rId37"/>
    <sheet name="Precast beam output (EN1992)" sheetId="44" state="hidden" r:id="rId38"/>
    <sheet name="Steel fire pro input EN1993" sheetId="39" state="hidden" r:id="rId39"/>
    <sheet name="Steel fire pro output EN1993" sheetId="40" state="hidden" r:id="rId40"/>
    <sheet name="Steel fire unpro input EN1993" sheetId="41" state="hidden" r:id="rId41"/>
    <sheet name="Steel fire unpro output EN1993" sheetId="42" state="hidden" r:id="rId42"/>
    <sheet name="Composite input (NDS)" sheetId="31" state="hidden" r:id="rId43"/>
    <sheet name="Composite output (NDS)" sheetId="32" state="hidden" r:id="rId44"/>
    <sheet name="Glulam input (NDS)" sheetId="33" state="hidden" r:id="rId45"/>
    <sheet name="Glulam output (NDS)" sheetId="34" state="hidden" r:id="rId46"/>
    <sheet name="Rolling load analysis (SI)" sheetId="24" state="hidden" r:id="rId47"/>
    <sheet name="Rolling load analysis (US)" sheetId="25" state="hidden" r:id="rId48"/>
    <sheet name="Input 1 Beam (EN1993)" sheetId="26" state="hidden" r:id="rId49"/>
    <sheet name="Input 2 Beam (EN1993)" sheetId="27" state="hidden" r:id="rId50"/>
    <sheet name="Output 1 Beam (EN1993)" sheetId="28" state="hidden" r:id="rId51"/>
    <sheet name="Output 2 Beam (EN1993)" sheetId="29" state="hidden" r:id="rId52"/>
    <sheet name="RC beam input (EN1992)" sheetId="12" state="hidden" r:id="rId53"/>
    <sheet name="RC beam output (EN1992)" sheetId="13" state="hidden" r:id="rId54"/>
    <sheet name="Calculation" sheetId="2" r:id="rId55"/>
    <sheet name="DATA" sheetId="3" r:id="rId56"/>
    <sheet name="OUTPUT" sheetId="82" r:id="rId57"/>
    <sheet name="Bearing pressures (US units)" sheetId="4" state="hidden" r:id="rId58"/>
    <sheet name="RC beam input (ACI318)" sheetId="14" state="hidden" r:id="rId59"/>
    <sheet name="RC beam output (ACI318)" sheetId="15" state="hidden" r:id="rId60"/>
    <sheet name="RC beam input (AS3600)" sheetId="16" state="hidden" r:id="rId61"/>
    <sheet name="RC beam output (AS3600)" sheetId="17" state="hidden" r:id="rId62"/>
    <sheet name="Timber input (EN1995)" sheetId="6" state="hidden" r:id="rId63"/>
    <sheet name="Timber output (EN1995)" sheetId="7" state="hidden" r:id="rId64"/>
    <sheet name="Steel input (EN1993)" sheetId="18" state="hidden" r:id="rId65"/>
    <sheet name="Steel output (EN1993)" sheetId="19" state="hidden" r:id="rId66"/>
    <sheet name="Steel input (AISC360)" sheetId="20" state="hidden" r:id="rId67"/>
    <sheet name="Steel output (AISC360)" sheetId="21" state="hidden" r:id="rId68"/>
    <sheet name="Steel input (AS4100)" sheetId="22" state="hidden" r:id="rId69"/>
    <sheet name="Steel output (AS4100)" sheetId="23" state="hidden" r:id="rId70"/>
    <sheet name="Glulam input (EN1995)" sheetId="8" state="hidden" r:id="rId71"/>
    <sheet name="Glulam output (EN1995)" sheetId="9" state="hidden" r:id="rId72"/>
    <sheet name="LVL input (EN1995)" sheetId="10" state="hidden" r:id="rId73"/>
    <sheet name="LVL output (EN1995)" sheetId="11" state="hidden" r:id="rId74"/>
  </sheets>
  <functionGroups builtInGroupCount="19"/>
  <definedNames>
    <definedName name="Calculation.Example">Calculation!$B$1</definedName>
    <definedName name="Calculation.FileName">Calculation!$B$2</definedName>
    <definedName name="Calculation.InputSheetName">Calculation!$B$6</definedName>
    <definedName name="Calculation.ItemName">Calculation!$B$3</definedName>
    <definedName name="Calculation.Options.BatchMode">Calculation!$B$26</definedName>
    <definedName name="Calculation.Options.EndRow">Calculation!$B$9</definedName>
    <definedName name="Calculation.Options.FinishPrompt">Calculation!$B$29</definedName>
    <definedName name="Calculation.Options.InputReadOnly">Calculation!$B$27</definedName>
    <definedName name="Calculation.Options.OutputDocuments">Calculation!$B$13</definedName>
    <definedName name="Calculation.Options.OutputFolder">Calculation!$B$14</definedName>
    <definedName name="Calculation.Options.PreCalculateExpressions">Calculation!$B$30</definedName>
    <definedName name="Calculation.Options.ShowUserInterface">Calculation!$B$12</definedName>
    <definedName name="Calculation.Options.StartRow">Calculation!$B$8</definedName>
    <definedName name="Calculation.Options.UpdateInput">Calculation!$B$28</definedName>
    <definedName name="Calculation.OutputSheetName">Calculation!$B$7</definedName>
    <definedName name="Calculation.Version">Calculation!$B$21</definedName>
    <definedName name="Examples.Column.FileName">Examples!$B$1</definedName>
    <definedName name="Examples.Column.InputSheet">Examples!$D$1</definedName>
    <definedName name="Examples.Column.ItemName">Examples!$C$1</definedName>
    <definedName name="Examples.Column.Name">Examples!$A$1</definedName>
    <definedName name="Examples.Column.OutputSheet">Examples!$E$1</definedName>
    <definedName name="StatusText">Calculation!$B$18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5" i="16" l="1"/>
  <c r="H6" i="16" s="1"/>
  <c r="H7" i="16" s="1"/>
  <c r="H8" i="16" s="1"/>
  <c r="H9" i="16" s="1"/>
  <c r="O17" i="14" l="1"/>
  <c r="L17" i="14"/>
  <c r="I17" i="14"/>
  <c r="O16" i="14"/>
  <c r="L16" i="14"/>
  <c r="I16" i="14"/>
  <c r="O15" i="14"/>
  <c r="L15" i="14"/>
  <c r="I15" i="14"/>
  <c r="O14" i="14"/>
  <c r="L14" i="14"/>
  <c r="I14" i="14"/>
  <c r="O13" i="14"/>
  <c r="L13" i="14"/>
  <c r="I13" i="14"/>
  <c r="O12" i="14"/>
  <c r="L12" i="14"/>
  <c r="I12" i="14"/>
  <c r="O11" i="14"/>
  <c r="L11" i="14"/>
  <c r="I11" i="14"/>
  <c r="O10" i="14"/>
  <c r="L10" i="14"/>
  <c r="I10" i="14"/>
  <c r="O9" i="14"/>
  <c r="L9" i="14"/>
  <c r="I9" i="14"/>
  <c r="O8" i="14"/>
  <c r="L8" i="14"/>
  <c r="I8" i="14"/>
  <c r="O7" i="14"/>
  <c r="L7" i="14"/>
  <c r="I7" i="14"/>
  <c r="O6" i="14"/>
  <c r="L6" i="14"/>
  <c r="I6" i="14"/>
  <c r="O5" i="14"/>
  <c r="L5" i="14"/>
  <c r="I5" i="14"/>
  <c r="F5" i="14"/>
  <c r="F6" i="14" s="1"/>
  <c r="F7" i="14" s="1"/>
  <c r="F8" i="14" s="1"/>
  <c r="O4" i="14"/>
  <c r="L4" i="14"/>
  <c r="I4" i="14"/>
  <c r="O3" i="14"/>
  <c r="L3" i="14"/>
  <c r="I3" i="14"/>
  <c r="I15" i="12" l="1"/>
  <c r="I5" i="12"/>
  <c r="I6" i="12" s="1"/>
  <c r="I7" i="12" s="1"/>
  <c r="I8" i="12" s="1"/>
  <c r="I9"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Duran Magdalena</author>
  </authors>
  <commentList>
    <comment ref="E1" authorId="0" shapeId="0" xr:uid="{00000000-0006-0000-2300-000001000000}">
      <text>
        <r>
          <rPr>
            <b/>
            <sz val="9"/>
            <color indexed="81"/>
            <rFont val="Tahoma"/>
            <family val="2"/>
          </rPr>
          <t>Duran Magdalena:</t>
        </r>
        <r>
          <rPr>
            <sz val="9"/>
            <color indexed="81"/>
            <rFont val="Tahoma"/>
            <family val="2"/>
          </rPr>
          <t xml:space="preserve">
Number of bars must be between 2 and 10 for a rectangular section
</t>
        </r>
      </text>
    </comment>
    <comment ref="F1" authorId="0" shapeId="0" xr:uid="{00000000-0006-0000-2300-000002000000}">
      <text>
        <r>
          <rPr>
            <b/>
            <sz val="9"/>
            <color indexed="81"/>
            <rFont val="Tahoma"/>
            <family val="2"/>
          </rPr>
          <t>Duran Magdalena:</t>
        </r>
        <r>
          <rPr>
            <sz val="9"/>
            <color indexed="81"/>
            <rFont val="Tahoma"/>
            <family val="2"/>
          </rPr>
          <t xml:space="preserve">
Number of bars must be between 2 and 10 for a rectangular section
</t>
        </r>
      </text>
    </comment>
    <comment ref="AI1" authorId="0" shapeId="0" xr:uid="{00000000-0006-0000-2300-000003000000}">
      <text>
        <r>
          <rPr>
            <b/>
            <sz val="9"/>
            <color indexed="81"/>
            <rFont val="Tahoma"/>
            <family val="2"/>
          </rPr>
          <t>Duran Magdalena:</t>
        </r>
        <r>
          <rPr>
            <sz val="9"/>
            <color indexed="81"/>
            <rFont val="Tahoma"/>
            <family val="2"/>
          </rPr>
          <t xml:space="preserve">
Number of bars must be between 2 and 10 for a rectangular section
</t>
        </r>
      </text>
    </comment>
    <comment ref="AJ1" authorId="0" shapeId="0" xr:uid="{00000000-0006-0000-2300-000004000000}">
      <text>
        <r>
          <rPr>
            <b/>
            <sz val="9"/>
            <color indexed="81"/>
            <rFont val="Tahoma"/>
            <family val="2"/>
          </rPr>
          <t>Duran Magdalena:</t>
        </r>
        <r>
          <rPr>
            <sz val="9"/>
            <color indexed="81"/>
            <rFont val="Tahoma"/>
            <family val="2"/>
          </rPr>
          <t xml:space="preserve">
Number of bars must be between 2 and 10 for a rectangular section
</t>
        </r>
      </text>
    </comment>
    <comment ref="AK1" authorId="0" shapeId="0" xr:uid="{00000000-0006-0000-2300-000005000000}">
      <text>
        <r>
          <rPr>
            <b/>
            <sz val="9"/>
            <color indexed="81"/>
            <rFont val="Tahoma"/>
            <family val="2"/>
          </rPr>
          <t>Duran Magdalena:</t>
        </r>
        <r>
          <rPr>
            <sz val="9"/>
            <color indexed="81"/>
            <rFont val="Tahoma"/>
            <family val="2"/>
          </rPr>
          <t xml:space="preserve">
Number of bars must be between 2 and 10 for a rectangular section
</t>
        </r>
      </text>
    </comment>
  </commentList>
</comments>
</file>

<file path=xl/sharedStrings.xml><?xml version="1.0" encoding="utf-8"?>
<sst xmlns="http://schemas.openxmlformats.org/spreadsheetml/2006/main" count="4009" uniqueCount="1278">
  <si>
    <t>mm</t>
  </si>
  <si>
    <t>File name</t>
  </si>
  <si>
    <t>Item name</t>
  </si>
  <si>
    <t>Calculation (Calc Item)</t>
  </si>
  <si>
    <t>Options</t>
  </si>
  <si>
    <t>Show user interface</t>
  </si>
  <si>
    <t>Status</t>
  </si>
  <si>
    <t>This Excel WorkBook can be used to batch design any Tedds calculation</t>
  </si>
  <si>
    <t>INPUT</t>
  </si>
  <si>
    <t>CALCULATION</t>
  </si>
  <si>
    <t>OUTPUT</t>
  </si>
  <si>
    <t>Add a row after the two header rows for each design case, you can add as many rows as you like, the batch process will stop when it reaches the first empty row</t>
  </si>
  <si>
    <t>EXPRESSION TEXT</t>
  </si>
  <si>
    <t>Superscript e.g.    m^2</t>
  </si>
  <si>
    <t>Subscript e.g.    M_{max}</t>
  </si>
  <si>
    <t>\72</t>
  </si>
  <si>
    <t>Lx</t>
  </si>
  <si>
    <t>Ly</t>
  </si>
  <si>
    <t>Pz</t>
  </si>
  <si>
    <t>ex</t>
  </si>
  <si>
    <t>ey</t>
  </si>
  <si>
    <t>kN</t>
  </si>
  <si>
    <t>qmax</t>
  </si>
  <si>
    <t>BearingPercentage</t>
  </si>
  <si>
    <t>%</t>
  </si>
  <si>
    <t>Variables</t>
  </si>
  <si>
    <t>Input work sheet name</t>
  </si>
  <si>
    <t>Output work sheet name</t>
  </si>
  <si>
    <t>TIPS</t>
  </si>
  <si>
    <t>You can define the input and output variables on the same work sheet, just make sure you list the input variables first and leave a single empty column between the input and output variables</t>
  </si>
  <si>
    <t>CALCULATE</t>
  </si>
  <si>
    <t>WARNING</t>
  </si>
  <si>
    <t>On any other sheet define the output variables for the design and enter that sheet name in the yellow cell provided. These are the results you want to view after the calculation has finished</t>
  </si>
  <si>
    <t>Click the Calculate button to start the calculation process</t>
  </si>
  <si>
    <t>On any other sheet define the input variables for the design and enter that sheet name in the yellow cell provided</t>
  </si>
  <si>
    <t>The header rows on the input sheet must include two rows, the first row defines the name of each input variable and the second row defines the units</t>
  </si>
  <si>
    <t>The header rows on the output sheet must include two rows, the first row defines the name of each output variable and the second row defines the units</t>
  </si>
  <si>
    <t>Variables and Units must be defined in "Expression Text Format". For more information refer to the Tedds Help Topics.</t>
  </si>
  <si>
    <t>OPTIONS</t>
  </si>
  <si>
    <t>To find out the filename and item name of a calculation in the Tedds library open the Index in the Library Access System, select the calculation and then open the Properties window (on the View menu)</t>
  </si>
  <si>
    <t>ft</t>
  </si>
  <si>
    <t>kips</t>
  </si>
  <si>
    <t>kips/ft^(2)</t>
  </si>
  <si>
    <t>Each completed design must always be checked manually in Tedds or Tedds for Word to verify whether there are any critical failures or warnings included in the documented output</t>
  </si>
  <si>
    <t>This work book uses macros, therefore if Excel prompts you with security warnings you must Enable the Content for the batch design to work.</t>
  </si>
  <si>
    <t>Output document</t>
  </si>
  <si>
    <t>Start row</t>
  </si>
  <si>
    <t>End row</t>
  </si>
  <si>
    <t>None</t>
  </si>
  <si>
    <t>TEDDS BATCH DESIGN</t>
  </si>
  <si>
    <t>No</t>
  </si>
  <si>
    <t>On this sheet in the yellow cells, specify the file name and item name of the Calc Item you want to use for your design. You can also select from the list of pre-defined examples.</t>
  </si>
  <si>
    <t>Custom</t>
  </si>
  <si>
    <t>_CalculationMode</t>
  </si>
  <si>
    <t>MemberType_{s1}</t>
  </si>
  <si>
    <t>M_{y,d_s1}</t>
  </si>
  <si>
    <t>M_{z,d_s1}</t>
  </si>
  <si>
    <t>F_{y,d_s1}</t>
  </si>
  <si>
    <t>F_{z,d_s1}</t>
  </si>
  <si>
    <t>F_{c,y,90,d_s1}</t>
  </si>
  <si>
    <t>F_{c,z,90,d_s1}</t>
  </si>
  <si>
    <t>_AxialForce_{s1}</t>
  </si>
  <si>
    <t>P_{d_s1}</t>
  </si>
  <si>
    <t>LoadDuration_{s1}</t>
  </si>
  <si>
    <t>MaterialPage_{s1}</t>
  </si>
  <si>
    <t>MaterialSelected_{s1}</t>
  </si>
  <si>
    <t>b_{s1}</t>
  </si>
  <si>
    <t>h_{s1}</t>
  </si>
  <si>
    <t>h</t>
  </si>
  <si>
    <t>N_{s1}</t>
  </si>
  <si>
    <t>ServiceClass_{s1}</t>
  </si>
  <si>
    <t>LoadSharing_{s1}</t>
  </si>
  <si>
    <t>BearingEnhancement_{s1}</t>
  </si>
  <si>
    <t>L_{s1}</t>
  </si>
  <si>
    <t>L_{y_s1}</t>
  </si>
  <si>
    <t>k_{e,y_s1}</t>
  </si>
  <si>
    <t>Restrained_{s1}</t>
  </si>
  <si>
    <t>L_{z_s1}</t>
  </si>
  <si>
    <t>k_{e,z_s1}</t>
  </si>
  <si>
    <t>LoadHeight_{s1}</t>
  </si>
  <si>
    <t>\66_{b_s1}</t>
  </si>
  <si>
    <t>f_{u,k_s1}</t>
  </si>
  <si>
    <t>_incBearingCheck_{s1}</t>
  </si>
  <si>
    <t>L_{b_s1}</t>
  </si>
  <si>
    <t>L_{a_s1}</t>
  </si>
  <si>
    <t>Notch_{s1}</t>
  </si>
  <si>
    <t>h_{ef_s1}</t>
  </si>
  <si>
    <t>L_{x_s1}</t>
  </si>
  <si>
    <t>L_{t_s1}</t>
  </si>
  <si>
    <t>String</t>
  </si>
  <si>
    <t>kNm</t>
  </si>
  <si>
    <t>N/mm^(2)</t>
  </si>
  <si>
    <t>Batch</t>
  </si>
  <si>
    <t>Timber</t>
  </si>
  <si>
    <t>Compression</t>
  </si>
  <si>
    <t>Instantaneous</t>
  </si>
  <si>
    <t>Softwood species</t>
  </si>
  <si>
    <t>C24</t>
  </si>
  <si>
    <t>Tension</t>
  </si>
  <si>
    <t>Short-term</t>
  </si>
  <si>
    <t>Long-term</t>
  </si>
  <si>
    <t>Hardwood species</t>
  </si>
  <si>
    <t>D35</t>
  </si>
  <si>
    <t>C27</t>
  </si>
  <si>
    <t>D45</t>
  </si>
  <si>
    <t>f_{c,y,90,d}</t>
  </si>
  <si>
    <t>\73_{c,y,90,d}</t>
  </si>
  <si>
    <t>f_{c,z,90,d}</t>
  </si>
  <si>
    <t>\73_{c,z,90,d}</t>
  </si>
  <si>
    <t>BearingStressU</t>
  </si>
  <si>
    <t>f_{m,y,d}</t>
  </si>
  <si>
    <t>\73_{m,y,d}</t>
  </si>
  <si>
    <t>f_{m,z,d}</t>
  </si>
  <si>
    <t>\73_{m,z,d}</t>
  </si>
  <si>
    <t>BendingStressU</t>
  </si>
  <si>
    <t>f_{v,y,d}</t>
  </si>
  <si>
    <t>\74_{y,d}</t>
  </si>
  <si>
    <t>f_{v,z,d}</t>
  </si>
  <si>
    <t>\74_{z,d}</t>
  </si>
  <si>
    <t>ShearStressU</t>
  </si>
  <si>
    <t>BendingandAxialU</t>
  </si>
  <si>
    <t>OverallU</t>
  </si>
  <si>
    <t>MaterialFile_{s1}</t>
  </si>
  <si>
    <t>Glulam strength classes EN 14080.dls</t>
  </si>
  <si>
    <t>Glulam</t>
  </si>
  <si>
    <t>Homogeneous glulam</t>
  </si>
  <si>
    <t>GL24h</t>
  </si>
  <si>
    <t>Combined glulam</t>
  </si>
  <si>
    <t>GL20c</t>
  </si>
  <si>
    <t>GL28h</t>
  </si>
  <si>
    <t>GL26h</t>
  </si>
  <si>
    <t>\73_{c,0,d}</t>
  </si>
  <si>
    <t>f_{c,0,d}</t>
  </si>
  <si>
    <t>LVL strength classes.dls</t>
  </si>
  <si>
    <t>LVL</t>
  </si>
  <si>
    <t>Kerto LVL</t>
  </si>
  <si>
    <t>Kerto-S</t>
  </si>
  <si>
    <t>Kerto-Q</t>
  </si>
  <si>
    <t>mm^(2)</t>
  </si>
  <si>
    <t>M_{pos_s1}</t>
  </si>
  <si>
    <t>M_{neg_s1}</t>
  </si>
  <si>
    <t>M_{pos_QP_s1}</t>
  </si>
  <si>
    <t>M_{neg_QP_s1}</t>
  </si>
  <si>
    <t>V_{s1}</t>
  </si>
  <si>
    <t>V_{Ed,max_s1}</t>
  </si>
  <si>
    <t>N_{s1_b_L1}</t>
  </si>
  <si>
    <t>\66_{s1_b_L1}</t>
  </si>
  <si>
    <t>N_{s1_t_L1}</t>
  </si>
  <si>
    <t>\66_{s1_t_L1}</t>
  </si>
  <si>
    <t>N_{s1_v}</t>
  </si>
  <si>
    <t>\66_{s1_v}</t>
  </si>
  <si>
    <t>s_{s1_v}</t>
  </si>
  <si>
    <t>_ConcreteClass</t>
  </si>
  <si>
    <t>C35/45</t>
  </si>
  <si>
    <t>C16/20</t>
  </si>
  <si>
    <t>C50/60</t>
  </si>
  <si>
    <t>A_{s,prov_t}</t>
  </si>
  <si>
    <t>A_{s,req_t}</t>
  </si>
  <si>
    <t>TopRebarU</t>
  </si>
  <si>
    <t>TopRebarCheck</t>
  </si>
  <si>
    <t>A_{s,prov_b}</t>
  </si>
  <si>
    <t>A_{s,req_b}</t>
  </si>
  <si>
    <t>BottomRebarU</t>
  </si>
  <si>
    <t>BottomRebarCheck</t>
  </si>
  <si>
    <t>A_{sv,prov}</t>
  </si>
  <si>
    <t>A_{sv,req}</t>
  </si>
  <si>
    <t>ShearU</t>
  </si>
  <si>
    <t>ShearCheck</t>
  </si>
  <si>
    <t>OverallCheck</t>
  </si>
  <si>
    <t>Notes1</t>
  </si>
  <si>
    <t>Notes2</t>
  </si>
  <si>
    <t>mm^2</t>
  </si>
  <si>
    <t>mm^2/m</t>
  </si>
  <si>
    <t>V_{u}</t>
  </si>
  <si>
    <t>Bar_{s1_b_L1}</t>
  </si>
  <si>
    <t>Bar_{s1_t_L1}</t>
  </si>
  <si>
    <t>Bar_{s1_v}</t>
  </si>
  <si>
    <t>f'_{c}</t>
  </si>
  <si>
    <t>kips_ft</t>
  </si>
  <si>
    <t>in</t>
  </si>
  <si>
    <t>psi</t>
  </si>
  <si>
    <t>in^2</t>
  </si>
  <si>
    <t>in^2/ft</t>
  </si>
  <si>
    <t>M_{s1_pos_service}</t>
  </si>
  <si>
    <t>M_{s1_neg_service}</t>
  </si>
  <si>
    <t>Show user interface:</t>
  </si>
  <si>
    <t>For "No", If the input validation in the user interface of the calculation does not pass successfully the user interface will still be shown.</t>
  </si>
  <si>
    <t>Output document:</t>
  </si>
  <si>
    <t>Start row:</t>
  </si>
  <si>
    <t>First row on input/output sheet(s) to run design cases, use 'Auto' for all rows (row 3 until the first blank row)</t>
  </si>
  <si>
    <t>End row:</t>
  </si>
  <si>
    <t>Last row on input/output sheet(s) to run design cases, use 'Auto' for all rows (row 3 until the first blank row)</t>
  </si>
  <si>
    <t>Input read only:</t>
  </si>
  <si>
    <t>Set all input variables to be read only so that input values cannot be modified in user interface of calculation (only applicable if user interface is shown)</t>
  </si>
  <si>
    <t>CompressionParaU</t>
  </si>
  <si>
    <t>SectionType_{s1}</t>
  </si>
  <si>
    <t>SectionPage_{s1}</t>
  </si>
  <si>
    <t>SectionSelected_{s1}</t>
  </si>
  <si>
    <t>SteelGrade_{s1}</t>
  </si>
  <si>
    <t>M_{y,Ed_s1}</t>
  </si>
  <si>
    <t>M_{z,Ed_s1}</t>
  </si>
  <si>
    <t>V_{y,Ed_s1}</t>
  </si>
  <si>
    <t>V_{z,Ed_s1}</t>
  </si>
  <si>
    <t>N_{Ed_s1}</t>
  </si>
  <si>
    <t>L_{T_s1}</t>
  </si>
  <si>
    <t>C_{my_s1}</t>
  </si>
  <si>
    <t>C_{mz_s1}</t>
  </si>
  <si>
    <t>C_{mLT_s1}</t>
  </si>
  <si>
    <t>DataList</t>
  </si>
  <si>
    <t>Universal Beams</t>
  </si>
  <si>
    <t>610(229(113))</t>
  </si>
  <si>
    <t>S275</t>
  </si>
  <si>
    <t>Universal Columns</t>
  </si>
  <si>
    <t>152(152(23))</t>
  </si>
  <si>
    <t>Rolled Steel Channels</t>
  </si>
  <si>
    <t>178(76(21))</t>
  </si>
  <si>
    <t>S355</t>
  </si>
  <si>
    <t>Rectangular Hollow Sections</t>
  </si>
  <si>
    <t>250(100(12.5))</t>
  </si>
  <si>
    <t>S355H</t>
  </si>
  <si>
    <t>Class</t>
  </si>
  <si>
    <t>V_{y,Ed}</t>
  </si>
  <si>
    <t>V_{pl,y,Rd}</t>
  </si>
  <si>
    <t>V_{z,Ed}</t>
  </si>
  <si>
    <t>V_{pl,z,Rd}</t>
  </si>
  <si>
    <t>M_{y,Ed}</t>
  </si>
  <si>
    <t>M_{c,y,Rd}</t>
  </si>
  <si>
    <t>M_{b,y,Rd}</t>
  </si>
  <si>
    <t>M_{z,Ed}</t>
  </si>
  <si>
    <t>M_{c,z,Rd}</t>
  </si>
  <si>
    <t>_DesignMethod</t>
  </si>
  <si>
    <t>M_{r,x_s1}</t>
  </si>
  <si>
    <t>M_{r,y_s1}</t>
  </si>
  <si>
    <t>V_{r,x_s1}</t>
  </si>
  <si>
    <t>V_{r,y_s1}</t>
  </si>
  <si>
    <t>P_{r_s1}</t>
  </si>
  <si>
    <t>C_{b_s1}</t>
  </si>
  <si>
    <t>LRFD</t>
  </si>
  <si>
    <t>W &amp;&amp; M</t>
  </si>
  <si>
    <t>W 18(71)</t>
  </si>
  <si>
    <t>A992</t>
  </si>
  <si>
    <t>V_{r,x}</t>
  </si>
  <si>
    <t>V_{c,x}</t>
  </si>
  <si>
    <t>V_{r,y}</t>
  </si>
  <si>
    <t>V_{c,y}</t>
  </si>
  <si>
    <t>M_{r,x}</t>
  </si>
  <si>
    <t>M_{c,x}</t>
  </si>
  <si>
    <t>M_{r,y}</t>
  </si>
  <si>
    <t>M_{c,y}</t>
  </si>
  <si>
    <t>M_{x_s1}</t>
  </si>
  <si>
    <t>M_{y_s1}</t>
  </si>
  <si>
    <t>V`2A_{x_s1}</t>
  </si>
  <si>
    <t>V`2A_{y_s1}</t>
  </si>
  <si>
    <t>N`2A_{s1}</t>
  </si>
  <si>
    <t>_incAmpFactor_{s1}</t>
  </si>
  <si>
    <t>k_{e,x_s1}</t>
  </si>
  <si>
    <t>k_{t_s1}</t>
  </si>
  <si>
    <t>k_{l_s1}</t>
  </si>
  <si>
    <t>k_{r_s1}</t>
  </si>
  <si>
    <t>\61_{m_s1}</t>
  </si>
  <si>
    <t>\62_{m_s1}</t>
  </si>
  <si>
    <t>A_{h_s1}</t>
  </si>
  <si>
    <t>610(101)</t>
  </si>
  <si>
    <t>300</t>
  </si>
  <si>
    <t>Parallel flange Channels</t>
  </si>
  <si>
    <t>Tee from Universal Beams</t>
  </si>
  <si>
    <t>75(7.0)</t>
  </si>
  <si>
    <t>M`2A_{x}</t>
  </si>
  <si>
    <t>M_{sc,x}</t>
  </si>
  <si>
    <t>M`2A_{y}</t>
  </si>
  <si>
    <t>M_{sc,y}</t>
  </si>
  <si>
    <t>M_{bc,x}</t>
  </si>
  <si>
    <t>V`2A_{x}</t>
  </si>
  <si>
    <t>V`2A_{y}</t>
  </si>
  <si>
    <t>N`2A</t>
  </si>
  <si>
    <t>N_{cc,x}</t>
  </si>
  <si>
    <t>N_{cc,y}</t>
  </si>
  <si>
    <t>N_{sc}</t>
  </si>
  <si>
    <t>N_{tc}</t>
  </si>
  <si>
    <t>N_{c,Rd}</t>
  </si>
  <si>
    <t>N_{b,y,Rd}</t>
  </si>
  <si>
    <t>N_{b,z,Rd}</t>
  </si>
  <si>
    <t>N_{b,T,Rd}</t>
  </si>
  <si>
    <t>CombinedU</t>
  </si>
  <si>
    <t>BendingzU</t>
  </si>
  <si>
    <t>BendingyU</t>
  </si>
  <si>
    <t>ShearyU</t>
  </si>
  <si>
    <t>ShearzU</t>
  </si>
  <si>
    <t>TensionU</t>
  </si>
  <si>
    <t>CompressionU</t>
  </si>
  <si>
    <t>_ClassFail</t>
  </si>
  <si>
    <t>ShearxU</t>
  </si>
  <si>
    <t>BendingxU</t>
  </si>
  <si>
    <t>P_{c}</t>
  </si>
  <si>
    <t>P_{r}</t>
  </si>
  <si>
    <t>AxialU</t>
  </si>
  <si>
    <t>M_{bc,y}</t>
  </si>
  <si>
    <t>V_{vc,x}</t>
  </si>
  <si>
    <t>V_{vc,y}</t>
  </si>
  <si>
    <t>SectionType</t>
  </si>
  <si>
    <t>A</t>
  </si>
  <si>
    <t>I</t>
  </si>
  <si>
    <t>E</t>
  </si>
  <si>
    <t>N_{span}</t>
  </si>
  <si>
    <t>L_{s2}</t>
  </si>
  <si>
    <t>L_{s3}</t>
  </si>
  <si>
    <t>L_{s4}</t>
  </si>
  <si>
    <t>L_{s5}</t>
  </si>
  <si>
    <t>kN/mm^(2)</t>
  </si>
  <si>
    <t>kg/m^(3)</t>
  </si>
  <si>
    <t>mm^(4)</t>
  </si>
  <si>
    <t>P_{wheel_1}</t>
  </si>
  <si>
    <t>P_{wheel_2}</t>
  </si>
  <si>
    <t>P_{wheel_3}</t>
  </si>
  <si>
    <t>P_{wheel_4}</t>
  </si>
  <si>
    <t>P_{wheel_5}</t>
  </si>
  <si>
    <t>F_{e_max}</t>
  </si>
  <si>
    <t>F_{e_min}</t>
  </si>
  <si>
    <t>M_{e_max}</t>
  </si>
  <si>
    <t>M_{e_min}</t>
  </si>
  <si>
    <t>\64_{e_max}</t>
  </si>
  <si>
    <t>\64_{e_min}</t>
  </si>
  <si>
    <t>N_{loads}</t>
  </si>
  <si>
    <t>_OutputDetail</t>
  </si>
  <si>
    <t>d_{2}</t>
  </si>
  <si>
    <t>d_{3}</t>
  </si>
  <si>
    <t>d_{4}</t>
  </si>
  <si>
    <t>d_{5}</t>
  </si>
  <si>
    <t>ExampleName</t>
  </si>
  <si>
    <t>in^(2)</t>
  </si>
  <si>
    <t>in^(4)</t>
  </si>
  <si>
    <t>ksi</t>
  </si>
  <si>
    <t>V_{e_max}</t>
  </si>
  <si>
    <t>V_{e_min}</t>
  </si>
  <si>
    <t>kip_ft</t>
  </si>
  <si>
    <t>LoadTrainIntervals</t>
  </si>
  <si>
    <t>British - 1 span (UB 254x146x43)</t>
  </si>
  <si>
    <t>British - 3 span (UB 1016x305x349)</t>
  </si>
  <si>
    <t>British - 5 span (UB 127x76x13)</t>
  </si>
  <si>
    <t>Australia - 1 span (250x31.4 UB)</t>
  </si>
  <si>
    <t>Australia - 3 span (1200x342 WB)</t>
  </si>
  <si>
    <t>Australia - 5 span (150x14 UB)</t>
  </si>
  <si>
    <t>Eurocode - 1 span (UB 254x146x43)</t>
  </si>
  <si>
    <t>Eurocode - 3 span (UB 1016x305x349)</t>
  </si>
  <si>
    <t>Eurocode - 5 span (UB 127x76x13)</t>
  </si>
  <si>
    <t>lbf/ft^(3)</t>
  </si>
  <si>
    <t>USA - 3 span (W 36x210)</t>
  </si>
  <si>
    <t>USA - 1 span (W 10x45)</t>
  </si>
  <si>
    <t>USA - 5 span (W 44x335)</t>
  </si>
  <si>
    <t>Output folder</t>
  </si>
  <si>
    <t>Output folder:</t>
  </si>
  <si>
    <t>Full path to a folder (which must already exist) where output files will be saved, file will be named "Batch design output #.xxx" where # is the number of the design case and xxx is the file extension</t>
  </si>
  <si>
    <t>Auto</t>
  </si>
  <si>
    <t>ConnectionName</t>
  </si>
  <si>
    <t>SupportType</t>
  </si>
  <si>
    <t>ColumnFix</t>
  </si>
  <si>
    <t>ConnectedBeams</t>
  </si>
  <si>
    <t>SupportingMemberPage</t>
  </si>
  <si>
    <t>SupportingMemberItem</t>
  </si>
  <si>
    <t>SupportingMemberGrade</t>
  </si>
  <si>
    <t>SupportedBeamPage_1</t>
  </si>
  <si>
    <t>SupportedBeamItem_1</t>
  </si>
  <si>
    <t>SupportedBeamGrade_1</t>
  </si>
  <si>
    <t>V_{Ed_1}</t>
  </si>
  <si>
    <t>F_{Ed_1}</t>
  </si>
  <si>
    <t>t_{p_1}</t>
  </si>
  <si>
    <t>h_{p_1}</t>
  </si>
  <si>
    <t>b_{p_1}</t>
  </si>
  <si>
    <t>s_{w_1}</t>
  </si>
  <si>
    <t>BoltRow_1</t>
  </si>
  <si>
    <t>PlateGrade_1</t>
  </si>
  <si>
    <t>BoltSize</t>
  </si>
  <si>
    <t>BoltGrade</t>
  </si>
  <si>
    <t>e_{1}</t>
  </si>
  <si>
    <t>e_{2}</t>
  </si>
  <si>
    <t>p_{1}</t>
  </si>
  <si>
    <t>p_{3}</t>
  </si>
  <si>
    <t>DepthToPlate</t>
  </si>
  <si>
    <t>TopNotch_1</t>
  </si>
  <si>
    <t>BottomNotch_1</t>
  </si>
  <si>
    <t>d_{nt_1}</t>
  </si>
  <si>
    <t>d_{nb_1}</t>
  </si>
  <si>
    <t>l_{n_1}</t>
  </si>
  <si>
    <t>1</t>
  </si>
  <si>
    <t>Beam</t>
  </si>
  <si>
    <t>1 Beam</t>
  </si>
  <si>
    <t>Advance UKB</t>
  </si>
  <si>
    <t>610(229(140))</t>
  </si>
  <si>
    <t>533(210(92))</t>
  </si>
  <si>
    <t>M20</t>
  </si>
  <si>
    <t>8.8</t>
  </si>
  <si>
    <t>2</t>
  </si>
  <si>
    <t>Column</t>
  </si>
  <si>
    <t>Flange</t>
  </si>
  <si>
    <t>Advance UKC</t>
  </si>
  <si>
    <t>305(305(97))</t>
  </si>
  <si>
    <t>356(171(45))</t>
  </si>
  <si>
    <t>3</t>
  </si>
  <si>
    <t>Web</t>
  </si>
  <si>
    <t>254(254(73))</t>
  </si>
  <si>
    <t>305(127(37))</t>
  </si>
  <si>
    <t>SupportedBeamPage_2</t>
  </si>
  <si>
    <t>SupportedBeamItem_2</t>
  </si>
  <si>
    <t>SupportedBeamGrade_2</t>
  </si>
  <si>
    <t>V_{Ed_2}</t>
  </si>
  <si>
    <t>F_{Ed_2}</t>
  </si>
  <si>
    <t>t_{p_2}</t>
  </si>
  <si>
    <t>h_{p_2}</t>
  </si>
  <si>
    <t>s_{w_2}</t>
  </si>
  <si>
    <t>BoltRow_2</t>
  </si>
  <si>
    <t>PlateGrade_2</t>
  </si>
  <si>
    <t>TopNotch_2</t>
  </si>
  <si>
    <t>BottomNotch_2</t>
  </si>
  <si>
    <t>d_{nt_2}</t>
  </si>
  <si>
    <t>d_{nb_2}</t>
  </si>
  <si>
    <t>l_{n_2}</t>
  </si>
  <si>
    <t>2 Beam</t>
  </si>
  <si>
    <t>406(178(74))</t>
  </si>
  <si>
    <t>PlateCritChk_1</t>
  </si>
  <si>
    <t>PlateResist_1</t>
  </si>
  <si>
    <t>PlateUnit_1</t>
  </si>
  <si>
    <t>PlateUtilise_1</t>
  </si>
  <si>
    <t>BeamCritChk_1</t>
  </si>
  <si>
    <t>BeamResist_1</t>
  </si>
  <si>
    <t>BeamUnit_1</t>
  </si>
  <si>
    <t>BeamUtilise_1</t>
  </si>
  <si>
    <t>MemberCritChk</t>
  </si>
  <si>
    <t>MemberResist</t>
  </si>
  <si>
    <t>MemberUnit</t>
  </si>
  <si>
    <t>MemberUtilise</t>
  </si>
  <si>
    <t>PlateCritChk_2</t>
  </si>
  <si>
    <t>PlateResist_2</t>
  </si>
  <si>
    <t>PlateUnit_2</t>
  </si>
  <si>
    <t>PlateUtilise_2</t>
  </si>
  <si>
    <t>BeamCritChk_2</t>
  </si>
  <si>
    <t>BeamResist_2</t>
  </si>
  <si>
    <t>BeamUnit_2</t>
  </si>
  <si>
    <t>BeamUtilise_2</t>
  </si>
  <si>
    <t>_CodeVersion</t>
  </si>
  <si>
    <t>\72_{s1}</t>
  </si>
  <si>
    <t>V_{x_s1}</t>
  </si>
  <si>
    <t>V_{y_s1}</t>
  </si>
  <si>
    <t>R_{x_s1}</t>
  </si>
  <si>
    <t>R_{y_s1}</t>
  </si>
  <si>
    <t>P_{s1}</t>
  </si>
  <si>
    <t>Species_{s1}</t>
  </si>
  <si>
    <t>Grade_{s1}</t>
  </si>
  <si>
    <t>d_{s1}</t>
  </si>
  <si>
    <t>ColumnFixing_{s1}</t>
  </si>
  <si>
    <t>Temperature_{s1}</t>
  </si>
  <si>
    <t>k_{b,x_s1}</t>
  </si>
  <si>
    <t>k_{b,y_s1}</t>
  </si>
  <si>
    <t>lb_ft</t>
  </si>
  <si>
    <t>lb</t>
  </si>
  <si>
    <t>18</t>
  </si>
  <si>
    <t>ASD</t>
  </si>
  <si>
    <t>Ten years</t>
  </si>
  <si>
    <t>GPLam</t>
  </si>
  <si>
    <t>2.0E LVL</t>
  </si>
  <si>
    <t>Nails</t>
  </si>
  <si>
    <t>up to 100 degF</t>
  </si>
  <si>
    <t>F_{c_s1}'</t>
  </si>
  <si>
    <t>f_{c_s1}</t>
  </si>
  <si>
    <t>_PcU_{s1}</t>
  </si>
  <si>
    <t>F_{t_s1}'</t>
  </si>
  <si>
    <t>f_{t_s1}</t>
  </si>
  <si>
    <t>_PtU_{s1}</t>
  </si>
  <si>
    <t>F_{c_perp,x_s1}'</t>
  </si>
  <si>
    <t>f_{c_perp,x_s1}</t>
  </si>
  <si>
    <t>_RcxU_{s1}</t>
  </si>
  <si>
    <t>F_{c_perp,y_s1}'</t>
  </si>
  <si>
    <t>f_{c_perp,y_s1}</t>
  </si>
  <si>
    <t>_RcyU_{s1}</t>
  </si>
  <si>
    <t>F_{b,x_s1}'</t>
  </si>
  <si>
    <t>f_{b,x_s1}</t>
  </si>
  <si>
    <t>_MxU_{s1}</t>
  </si>
  <si>
    <t>F_{b,y_s1}'</t>
  </si>
  <si>
    <t>f_{b,y_s1}</t>
  </si>
  <si>
    <t>_MyU_{s1}</t>
  </si>
  <si>
    <t>F_{v,x_s1}'</t>
  </si>
  <si>
    <t>f_{v,x_s1}</t>
  </si>
  <si>
    <t>_FvxU_{s1}</t>
  </si>
  <si>
    <t>F_{v,y_s1}'</t>
  </si>
  <si>
    <t>f_{v,y_s1}</t>
  </si>
  <si>
    <t>_FvyU_{s1}</t>
  </si>
  <si>
    <t>_FbtcU_{s1}</t>
  </si>
  <si>
    <t>lb/in^(2)</t>
  </si>
  <si>
    <t>MDir</t>
  </si>
  <si>
    <t>FDir</t>
  </si>
  <si>
    <t>Incised_{s1}</t>
  </si>
  <si>
    <t>ServiceCondition_{s1}</t>
  </si>
  <si>
    <t>L_{0_s1}</t>
  </si>
  <si>
    <t>15</t>
  </si>
  <si>
    <t>Pos</t>
  </si>
  <si>
    <t>16F-1.3E</t>
  </si>
  <si>
    <t>Dry</t>
  </si>
  <si>
    <t>W_{tot_s1}</t>
  </si>
  <si>
    <t>b_{nom_s1}</t>
  </si>
  <si>
    <t>d_{nom_s1}</t>
  </si>
  <si>
    <t>b_{s_s1}</t>
  </si>
  <si>
    <t>d_{s_s1}</t>
  </si>
  <si>
    <t>\66_{s1}</t>
  </si>
  <si>
    <t>F_{y_s1}</t>
  </si>
  <si>
    <t>y_{s1}</t>
  </si>
  <si>
    <t>LumberType_{s1}</t>
  </si>
  <si>
    <t>Flitch</t>
  </si>
  <si>
    <t>Hem-Fir</t>
  </si>
  <si>
    <t>Select Structural</t>
  </si>
  <si>
    <t>Dressed</t>
  </si>
  <si>
    <t>F_{y_s1}'</t>
  </si>
  <si>
    <t>f_{y_s1}</t>
  </si>
  <si>
    <t>_MsU_{s1}</t>
  </si>
  <si>
    <t>F_{v,s_s1}'</t>
  </si>
  <si>
    <t>f_{v,s_s1}</t>
  </si>
  <si>
    <t>_VsU_{s1}</t>
  </si>
  <si>
    <t>Seven days</t>
  </si>
  <si>
    <t>Impact</t>
  </si>
  <si>
    <t>Two months</t>
  </si>
  <si>
    <t>Ten minutes</t>
  </si>
  <si>
    <t>12</t>
  </si>
  <si>
    <t>05</t>
  </si>
  <si>
    <t>Cottonwood</t>
  </si>
  <si>
    <t>Bolts</t>
  </si>
  <si>
    <t>Aspen</t>
  </si>
  <si>
    <t>Wet</t>
  </si>
  <si>
    <t>Mixed Oak</t>
  </si>
  <si>
    <t>Spruce Pine</t>
  </si>
  <si>
    <t>Alaska Cedar</t>
  </si>
  <si>
    <t>Douglas Fir-Larch</t>
  </si>
  <si>
    <t>Redwood</t>
  </si>
  <si>
    <t>Southern Pine</t>
  </si>
  <si>
    <t>Yellow Poplar</t>
  </si>
  <si>
    <t>Parallam</t>
  </si>
  <si>
    <t>2.2E PSL</t>
  </si>
  <si>
    <t>RigidLam</t>
  </si>
  <si>
    <t>2.2E LVL</t>
  </si>
  <si>
    <t>West Fraser</t>
  </si>
  <si>
    <t>Versa-Stud</t>
  </si>
  <si>
    <t>1.7E LVL</t>
  </si>
  <si>
    <t>Pacific Woodtech</t>
  </si>
  <si>
    <t>20F-1.5E</t>
  </si>
  <si>
    <t>16F-E7 HF/HF</t>
  </si>
  <si>
    <t>20F-E6 DF/DF</t>
  </si>
  <si>
    <t>24F-1.7E</t>
  </si>
  <si>
    <t>16F-V3 DF/DF</t>
  </si>
  <si>
    <t>30F-2.1E SP</t>
  </si>
  <si>
    <t>SectionPage_{calc}</t>
  </si>
  <si>
    <t>SectionSelected_{calc}</t>
  </si>
  <si>
    <t>SteelGrade_{calc}</t>
  </si>
  <si>
    <t>_isBeamExposed4Sides</t>
  </si>
  <si>
    <t>_isBeamProtected</t>
  </si>
  <si>
    <t>T_{req,fire_calc}</t>
  </si>
  <si>
    <t>_isProtectionBoxShaped</t>
  </si>
  <si>
    <t>d_{p_calc}</t>
  </si>
  <si>
    <t>\72_{p_calc}</t>
  </si>
  <si>
    <t>C_{p_calc}</t>
  </si>
  <si>
    <t>\6C_{p_calc}</t>
  </si>
  <si>
    <t>_AnalysisResultsDirect</t>
  </si>
  <si>
    <t>V_{Ed_calc}</t>
  </si>
  <si>
    <t>M_{Ed,y_calc}</t>
  </si>
  <si>
    <t>F_{Ed_calc}</t>
  </si>
  <si>
    <t>L_{calc}</t>
  </si>
  <si>
    <t>\68_{fi_calc}</t>
  </si>
  <si>
    <t>min</t>
  </si>
  <si>
    <t>J/kg</t>
  </si>
  <si>
    <t>W/m</t>
  </si>
  <si>
    <t>kN/m</t>
  </si>
  <si>
    <t>m</t>
  </si>
  <si>
    <t>533(210(122))</t>
  </si>
  <si>
    <t>457(191(67))</t>
  </si>
  <si>
    <t>Class_{Fire}</t>
  </si>
  <si>
    <t>M_{fi,Ed,y}</t>
  </si>
  <si>
    <t>M_{fi,Rd,y}</t>
  </si>
  <si>
    <t>_URBendingFirePASSFAIL</t>
  </si>
  <si>
    <t>V_{fi,Ed}</t>
  </si>
  <si>
    <t>V_{fi,t,Rd}</t>
  </si>
  <si>
    <t>_URShearFirePASSFAIL</t>
  </si>
  <si>
    <t>\6D_{0}</t>
  </si>
  <si>
    <t>\71_{a,crit}</t>
  </si>
  <si>
    <t>\71_{a}</t>
  </si>
  <si>
    <t>_CriticalTempPASSFAIL</t>
  </si>
  <si>
    <t>T_{fire_calc}</t>
  </si>
  <si>
    <t>Warning_BatchDesign</t>
  </si>
  <si>
    <t>Rolled Steel Channels (Parallel)</t>
  </si>
  <si>
    <t>300(100(46))</t>
  </si>
  <si>
    <t>Circular Hollow Sections</t>
  </si>
  <si>
    <t>323.9(10.0)</t>
  </si>
  <si>
    <t>Batch mode</t>
  </si>
  <si>
    <t>For "New design per row", a completely new design will be started for each row using only the input variables defined for that row</t>
  </si>
  <si>
    <t>Input read only in UI</t>
  </si>
  <si>
    <t>Determines whether the defined input variables are updated in the spreadsheet when the design is completed</t>
  </si>
  <si>
    <t>Update input</t>
  </si>
  <si>
    <t>Determines whether any document output is created and Sent to the Tedds Application,  Tedds for Word or Saved to a PDF or RTF file in the specified output folder</t>
  </si>
  <si>
    <t>New design per row</t>
  </si>
  <si>
    <t>Yes</t>
  </si>
  <si>
    <t>kN/m^(2)</t>
  </si>
  <si>
    <t>Greek: alpha \61, beta \62, delta \64, phi \66, gamma \67, theta \71, rho \6D, mu \6C, lambda \72</t>
  </si>
  <si>
    <t xml:space="preserve">Batch design version: </t>
  </si>
  <si>
    <t>For "Design first row then modify", the first row will be designed using only the input variables defined for that row, subsequent rows will start with the final results from the first row and then modify the inputs. The user interface will always be shown for the first row.</t>
  </si>
  <si>
    <t>For "Disabled", calculation performance will improve if the calculation supports API mode BUT the input will not be validated which could lead to incorrect results.</t>
  </si>
  <si>
    <t>_SectionType_{s1}</t>
  </si>
  <si>
    <t>b_{f_s1}</t>
  </si>
  <si>
    <t>h_{f_s1}</t>
  </si>
  <si>
    <t>T_{Ed,max_s1}</t>
  </si>
  <si>
    <t>V_{Ed,b,l}</t>
  </si>
  <si>
    <t>V_{Ed,b,r}</t>
  </si>
  <si>
    <t>_isBeamSimplySupported</t>
  </si>
  <si>
    <t>\44M</t>
  </si>
  <si>
    <t>\44x</t>
  </si>
  <si>
    <t>_TransverseMomentMethod</t>
  </si>
  <si>
    <t>_FlangeOutstandLoadingType</t>
  </si>
  <si>
    <t>F_{sf,t}</t>
  </si>
  <si>
    <t>\66_{b,v}</t>
  </si>
  <si>
    <t>s_{b,v}</t>
  </si>
  <si>
    <t>\66_{f,top}</t>
  </si>
  <si>
    <t>s_{f,top}</t>
  </si>
  <si>
    <t>_ConcreteClassMain</t>
  </si>
  <si>
    <t>Rectangular</t>
  </si>
  <si>
    <t>Precast inverted T</t>
  </si>
  <si>
    <t>Precast L</t>
  </si>
  <si>
    <t>Flanged T</t>
  </si>
  <si>
    <t>Calculated</t>
  </si>
  <si>
    <t>Line load</t>
  </si>
  <si>
    <t>Flanged L</t>
  </si>
  <si>
    <t>Beam type</t>
  </si>
  <si>
    <t>Dimensions</t>
  </si>
  <si>
    <t>Design forces</t>
  </si>
  <si>
    <t>Design reinforcement</t>
  </si>
  <si>
    <t>StrutResult</t>
  </si>
  <si>
    <t>MinReinfResult</t>
  </si>
  <si>
    <t>A_{sl,req}</t>
  </si>
  <si>
    <t>A_{sw,req}</t>
  </si>
  <si>
    <t>V_{Ed,b,red}</t>
  </si>
  <si>
    <t>V_{Rd,c,b}</t>
  </si>
  <si>
    <t>OutConcU</t>
  </si>
  <si>
    <t>OutConcCheck</t>
  </si>
  <si>
    <t>A_{sh,prov}</t>
  </si>
  <si>
    <t>A_{sh,req}</t>
  </si>
  <si>
    <t>BootTopRebarU</t>
  </si>
  <si>
    <t>BootTopRebarCheck</t>
  </si>
  <si>
    <t>A_{sf,t,prov}</t>
  </si>
  <si>
    <t>A_{sf,t,req}</t>
  </si>
  <si>
    <t>FlangeTransU</t>
  </si>
  <si>
    <t>FlangeTransCheck</t>
  </si>
  <si>
    <t>TotalShearU</t>
  </si>
  <si>
    <t>TotalShearCheck</t>
  </si>
  <si>
    <t>_rcc.Type</t>
  </si>
  <si>
    <t>b</t>
  </si>
  <si>
    <t>_rcc.ColumnGrade</t>
  </si>
  <si>
    <t>N_{y}</t>
  </si>
  <si>
    <t>N_{z}</t>
  </si>
  <si>
    <t>N</t>
  </si>
  <si>
    <t>\66</t>
  </si>
  <si>
    <t>\66_{v}</t>
  </si>
  <si>
    <t>_rcc.Uniaxial</t>
  </si>
  <si>
    <t>_rcc.Axis</t>
  </si>
  <si>
    <t>N_{Ed}</t>
  </si>
  <si>
    <t>M_{topy}</t>
  </si>
  <si>
    <t>M_{btmy}</t>
  </si>
  <si>
    <t>M_{topz}</t>
  </si>
  <si>
    <t>M_{btmz}</t>
  </si>
  <si>
    <t>_rcc.BracedY</t>
  </si>
  <si>
    <t>_rcc.BracedZ</t>
  </si>
  <si>
    <t>l_{0y}</t>
  </si>
  <si>
    <t>l_{0z}</t>
  </si>
  <si>
    <t>RH</t>
  </si>
  <si>
    <t>u</t>
  </si>
  <si>
    <t>t_{0}</t>
  </si>
  <si>
    <t>r_{My}</t>
  </si>
  <si>
    <t>r_{Mz}</t>
  </si>
  <si>
    <t>_isLiftingIncluded</t>
  </si>
  <si>
    <t>L_{element}</t>
  </si>
  <si>
    <t>L_{lift}</t>
  </si>
  <si>
    <t>q_{formwork}</t>
  </si>
  <si>
    <t>\66_{lifting}</t>
  </si>
  <si>
    <t>_isPitchingIncluded</t>
  </si>
  <si>
    <t>L_{pitch}</t>
  </si>
  <si>
    <t>\66_{pitching}</t>
  </si>
  <si>
    <t>_ColumnSpliceCheckBox</t>
  </si>
  <si>
    <t>N_{y.Splice1}</t>
  </si>
  <si>
    <t>N_{z.Splice1}</t>
  </si>
  <si>
    <t>N_{Splice1}</t>
  </si>
  <si>
    <t>\66_{Splice1}</t>
  </si>
  <si>
    <t>N_{Ed.Splice1}</t>
  </si>
  <si>
    <t>M_{Ed.y.Splice1}</t>
  </si>
  <si>
    <t>M_{Ed.z.Splice1}</t>
  </si>
  <si>
    <t>l_{bd,prov.Splice1}</t>
  </si>
  <si>
    <t>_GoodBondCondition.Splice1</t>
  </si>
  <si>
    <t>day</t>
  </si>
  <si>
    <t>C40/50</t>
  </si>
  <si>
    <t>C60/75</t>
  </si>
  <si>
    <t>y</t>
  </si>
  <si>
    <t>Circular</t>
  </si>
  <si>
    <t>GEOMETRY</t>
  </si>
  <si>
    <t>MATERIAL</t>
  </si>
  <si>
    <t>REINFORCEMENT</t>
  </si>
  <si>
    <t>BENDING TYPE</t>
  </si>
  <si>
    <t>AXIAL LOADING AND BENDING MOMENTS</t>
  </si>
  <si>
    <t>COLUM SLENDERNESS</t>
  </si>
  <si>
    <t>2ND ORDER PARAMETERS</t>
  </si>
  <si>
    <t>FACTORY LIFTING</t>
  </si>
  <si>
    <t>ON SITE PITCHING</t>
  </si>
  <si>
    <t>COLUMN SPLICE REINFORCEMENT</t>
  </si>
  <si>
    <t>COLUMN SPLICE LOADS</t>
  </si>
  <si>
    <t>Validations</t>
  </si>
  <si>
    <t>Limitations</t>
  </si>
  <si>
    <t>[2-10]</t>
  </si>
  <si>
    <t>Number of bars must be between 2 and 10 for a rectangular section</t>
  </si>
  <si>
    <t>even</t>
  </si>
  <si>
    <t>For circular sections</t>
  </si>
  <si>
    <t>The link diameter must not be less than 6 mm or one quarter of the size of the longitudinal bars.</t>
  </si>
  <si>
    <t>&gt;= 0 kN</t>
  </si>
  <si>
    <t>A positive value must be input for the design axial load</t>
  </si>
  <si>
    <t>_rcc.EffL</t>
  </si>
  <si>
    <t xml:space="preserve">Method used is to  input the  effective length directly </t>
  </si>
  <si>
    <t>M_{Edy}</t>
  </si>
  <si>
    <t>M_{Rdy}</t>
  </si>
  <si>
    <t>M_{Edz}</t>
  </si>
  <si>
    <t>M_{Rdz}</t>
  </si>
  <si>
    <t>UF</t>
  </si>
  <si>
    <t>M_{Ed}</t>
  </si>
  <si>
    <t>M_{Rd}</t>
  </si>
  <si>
    <t>M_{Lifting_pos}</t>
  </si>
  <si>
    <t>A_{s,prov,Lift_pos}</t>
  </si>
  <si>
    <t>A_{s,req,Lifting_pos}</t>
  </si>
  <si>
    <t>M_{Lifting_neg}</t>
  </si>
  <si>
    <t>A_{s,prov,Lift_neg}</t>
  </si>
  <si>
    <t>A_{s,req,Lifting_neg}</t>
  </si>
  <si>
    <t>V_{Ed,Lifting}</t>
  </si>
  <si>
    <t>V_{Rd,c,Lifting}</t>
  </si>
  <si>
    <t>M_{Pitching_pos}</t>
  </si>
  <si>
    <t>A_{s,req,Pitching_pos}</t>
  </si>
  <si>
    <t>M_{Pitching_neg}</t>
  </si>
  <si>
    <t>A_{s,req,Pitching_neg}</t>
  </si>
  <si>
    <t>V_{Ed,Pitching}</t>
  </si>
  <si>
    <t>V_{Rd,c,Pitching}</t>
  </si>
  <si>
    <t>M_{Rdy.Splice1}</t>
  </si>
  <si>
    <t>M_{Rdz.Splice1}</t>
  </si>
  <si>
    <t>UF_{Biaxial.Splice1}</t>
  </si>
  <si>
    <t>l_{bd.Splice1}</t>
  </si>
  <si>
    <t>UR_{l_bd.Splice1}</t>
  </si>
  <si>
    <t>Undefined</t>
  </si>
  <si>
    <t>COLUMN STACK - CAPACITY Y AXIS</t>
  </si>
  <si>
    <t>COLUMN STACK - CAPACITY Z AXIS</t>
  </si>
  <si>
    <t>BIAXIAL</t>
  </si>
  <si>
    <t>COMB. BENDING CIRCULAR SECT</t>
  </si>
  <si>
    <t>FACTORY LIFTING - POS MOMENT</t>
  </si>
  <si>
    <t>FACTORY LIFTING - NEG MOMENT</t>
  </si>
  <si>
    <t>FACTORY LIFTING - SHEAR</t>
  </si>
  <si>
    <t>PITCHING - POS MOMENT</t>
  </si>
  <si>
    <t>PITCHING - NEG MOMENT</t>
  </si>
  <si>
    <t>PITCHING - SHEAR</t>
  </si>
  <si>
    <t>SPLICE CAPACITY</t>
  </si>
  <si>
    <t>ANCHORAGE</t>
  </si>
  <si>
    <t>_rcc.WallGrade</t>
  </si>
  <si>
    <t>s_{v}</t>
  </si>
  <si>
    <t>\66_{h}</t>
  </si>
  <si>
    <t>s_{h}</t>
  </si>
  <si>
    <t>c_{nom}</t>
  </si>
  <si>
    <t>_rcc.Layer</t>
  </si>
  <si>
    <t>M_{top}</t>
  </si>
  <si>
    <t>M_{btm}</t>
  </si>
  <si>
    <t>l</t>
  </si>
  <si>
    <t>f</t>
  </si>
  <si>
    <t>_rcc.Braced</t>
  </si>
  <si>
    <t>r_{M}</t>
  </si>
  <si>
    <t>_rcc.CrackWidths</t>
  </si>
  <si>
    <t>w_{k_max}</t>
  </si>
  <si>
    <t>N_{Ed_SLS}</t>
  </si>
  <si>
    <t>M_{top_SLS}</t>
  </si>
  <si>
    <t>M_{btm_SLS}</t>
  </si>
  <si>
    <t>L_{x,element}</t>
  </si>
  <si>
    <t>L_{y,element}</t>
  </si>
  <si>
    <t>L_{x,lift}</t>
  </si>
  <si>
    <t>L_{y,lift}</t>
  </si>
  <si>
    <t>kNm/m</t>
  </si>
  <si>
    <t>C30/37</t>
  </si>
  <si>
    <t>REINFORCEMENT &amp; COVER</t>
  </si>
  <si>
    <t>VERT. REINF. OUTER LAYER</t>
  </si>
  <si>
    <t>AXIAL LOADING &amp; BENDING</t>
  </si>
  <si>
    <t>CRACK WIDTH</t>
  </si>
  <si>
    <t>AXIAL LOADING &amp; BENDING - QP</t>
  </si>
  <si>
    <t>LIFTING - GEOMETRY</t>
  </si>
  <si>
    <t>PITCHING</t>
  </si>
  <si>
    <t>\6C</t>
  </si>
  <si>
    <t>\6C_{lim}</t>
  </si>
  <si>
    <t>w_{k}</t>
  </si>
  <si>
    <t>M_{Lifting_x.pos}</t>
  </si>
  <si>
    <t>M_{Lifting_x.neg}</t>
  </si>
  <si>
    <t>A_{s,prov,Lift_x}</t>
  </si>
  <si>
    <t>A_{s,req,Lifting_x.pos}</t>
  </si>
  <si>
    <t>A_{s,req,Lifting_x.neg}</t>
  </si>
  <si>
    <t>M_{Lifting_y.pos}</t>
  </si>
  <si>
    <t>M_{Lifting_y.neg}</t>
  </si>
  <si>
    <t>A_{s,prov,Lift_y}</t>
  </si>
  <si>
    <t>A_{s,req,Lifting_y.pos}</t>
  </si>
  <si>
    <t>A_{s,req,Lifting_y.neg}</t>
  </si>
  <si>
    <t>V_{Ed,Lifting_x}</t>
  </si>
  <si>
    <t>V_{Rd,c,Lifting_x}</t>
  </si>
  <si>
    <t>V_{Ed,Lifting_y}</t>
  </si>
  <si>
    <t>V_{Rd,c,Lifting_y}</t>
  </si>
  <si>
    <t>M_{Pitching_x.pos}</t>
  </si>
  <si>
    <t>A_{s,req,Pitching_x.pos}</t>
  </si>
  <si>
    <t>M_{Pitching_y.pos}</t>
  </si>
  <si>
    <t>A_{s,req,Pitching_y.pos}</t>
  </si>
  <si>
    <t>V_{Ed,Pitching_x}</t>
  </si>
  <si>
    <t>V_{Rd,c,Pitching_x}</t>
  </si>
  <si>
    <t>V_{Ed,Pitching_y}</t>
  </si>
  <si>
    <t>V_{Rd,c,Pitching_y}</t>
  </si>
  <si>
    <t>SLENDERNESS</t>
  </si>
  <si>
    <t>WALL CAPACITY</t>
  </si>
  <si>
    <t>FACTORY LIFTING - BENDING - ALONG X AXIS</t>
  </si>
  <si>
    <t>FACTORY LIFTING - BENDING -  ALONG Y AXIS</t>
  </si>
  <si>
    <t>FACTORY LIFTING - SHEAR - X AXIS</t>
  </si>
  <si>
    <t>FACTORY LIFTING - SHEAR - Y AXIS</t>
  </si>
  <si>
    <t>PITCHING - BENDING - ALONG X AXIS</t>
  </si>
  <si>
    <t>PITCHING - BENDING - ALONG Y AXIS</t>
  </si>
  <si>
    <t>_isConcStrengthLessAtLifting</t>
  </si>
  <si>
    <t>_ConcreteClassLift</t>
  </si>
  <si>
    <t>G</t>
  </si>
  <si>
    <t>R</t>
  </si>
  <si>
    <t>h_{waist}</t>
  </si>
  <si>
    <t>L_{low}</t>
  </si>
  <si>
    <t>L_{up}</t>
  </si>
  <si>
    <t>h_{low}</t>
  </si>
  <si>
    <t>h_{up}</t>
  </si>
  <si>
    <t>S_{cond,lower}</t>
  </si>
  <si>
    <t>S_{cond,upper}</t>
  </si>
  <si>
    <t>w_{up}</t>
  </si>
  <si>
    <t>w_{low}</t>
  </si>
  <si>
    <t>g_{fin}</t>
  </si>
  <si>
    <t>q_{k}</t>
  </si>
  <si>
    <t>N_{mid,l}</t>
  </si>
  <si>
    <t>\66_{mid,l}</t>
  </si>
  <si>
    <t>s_{mid,t}</t>
  </si>
  <si>
    <t>\66_{mid,t}</t>
  </si>
  <si>
    <t>N_{low,l}</t>
  </si>
  <si>
    <t>\66_{low,l}</t>
  </si>
  <si>
    <t>s_{low,t}</t>
  </si>
  <si>
    <t>\66_{low,t}</t>
  </si>
  <si>
    <t>N_{up,l}</t>
  </si>
  <si>
    <t>\66_{up,l}</t>
  </si>
  <si>
    <t>s_{up,t}</t>
  </si>
  <si>
    <t>\66_{up,t}</t>
  </si>
  <si>
    <t>N_{joint,l}</t>
  </si>
  <si>
    <t>\66_{joint,l}</t>
  </si>
  <si>
    <t>C20/25</t>
  </si>
  <si>
    <t>Simple</t>
  </si>
  <si>
    <t>MATERIAL LIFTING</t>
  </si>
  <si>
    <t>LIFTING</t>
  </si>
  <si>
    <t>SUPPORT CONDITIONS</t>
  </si>
  <si>
    <t>FORCES</t>
  </si>
  <si>
    <t>REINFORCEMENT MID SPAN</t>
  </si>
  <si>
    <t>REINFORCEMENT LOWER SUPPORT</t>
  </si>
  <si>
    <t>REINFORCEMENT UPPER SUPPORT</t>
  </si>
  <si>
    <t>REINFORCEMENT JOINT</t>
  </si>
  <si>
    <t>_WarningDescription</t>
  </si>
  <si>
    <t>L_{span}</t>
  </si>
  <si>
    <t>F_{Ed}</t>
  </si>
  <si>
    <t>M_{mid}</t>
  </si>
  <si>
    <t>M_{low}</t>
  </si>
  <si>
    <t>M_{up}</t>
  </si>
  <si>
    <t>A_{s,middle,main}</t>
  </si>
  <si>
    <t>A_{s,middle,main,req}</t>
  </si>
  <si>
    <t>A_{s,middle,trans}</t>
  </si>
  <si>
    <t>A_{s,middle,trans,req}</t>
  </si>
  <si>
    <t>A_{s,lower,main}</t>
  </si>
  <si>
    <t>A_{s,lower,main,req}</t>
  </si>
  <si>
    <t>A_{s,lower,trans}</t>
  </si>
  <si>
    <t>A_{s,lower,trans,req}</t>
  </si>
  <si>
    <t>A_{s,upper,main}</t>
  </si>
  <si>
    <t>A_{s,upper,main,req}</t>
  </si>
  <si>
    <t>A_{s,upper,trans}</t>
  </si>
  <si>
    <t>A_{s,upper,trans,req}</t>
  </si>
  <si>
    <t>A_{s,Lifting,pos,main}</t>
  </si>
  <si>
    <t>A_{s,Lifting,pos,main,req}</t>
  </si>
  <si>
    <t>A_{s,Lifting,neg,main}</t>
  </si>
  <si>
    <t>A_{s,Lifting,neg,main,req}</t>
  </si>
  <si>
    <t>LOADING</t>
  </si>
  <si>
    <t>REINFORCEMENT TO RESIST LIFTING</t>
  </si>
  <si>
    <t>Interior</t>
  </si>
  <si>
    <t>First</t>
  </si>
  <si>
    <t>d_{mid}</t>
  </si>
  <si>
    <t>d_{low}</t>
  </si>
  <si>
    <t>d_{up}</t>
  </si>
  <si>
    <t>MemberType</t>
  </si>
  <si>
    <t>L_{m}</t>
  </si>
  <si>
    <t>L_{s}</t>
  </si>
  <si>
    <t>ConcreteClass_{m}</t>
  </si>
  <si>
    <t>ReinforcementDetail</t>
  </si>
  <si>
    <t>r_{i}</t>
  </si>
  <si>
    <t>c_{nom,end}</t>
  </si>
  <si>
    <t>SupportMaterial</t>
  </si>
  <si>
    <t>ConcreteClass_{s}</t>
  </si>
  <si>
    <t>l_{b}</t>
  </si>
  <si>
    <t>b_{b}</t>
  </si>
  <si>
    <t>h_{b}</t>
  </si>
  <si>
    <t>BeddingMaterial</t>
  </si>
  <si>
    <t>f_{bed}</t>
  </si>
  <si>
    <t>_incChamfer</t>
  </si>
  <si>
    <t>l_{c}</t>
  </si>
  <si>
    <t>Isolated</t>
  </si>
  <si>
    <t>Close</t>
  </si>
  <si>
    <t>In-situ</t>
  </si>
  <si>
    <t>f_{Rd}</t>
  </si>
  <si>
    <t>\73_{Ed}</t>
  </si>
  <si>
    <t>_\73EdU</t>
  </si>
  <si>
    <t>a_{1,min}</t>
  </si>
  <si>
    <t>a_{2}</t>
  </si>
  <si>
    <t>a_{3}</t>
  </si>
  <si>
    <t>\44a_{2}</t>
  </si>
  <si>
    <t>\44a_{3}</t>
  </si>
  <si>
    <t>a</t>
  </si>
  <si>
    <t>TotalU</t>
  </si>
  <si>
    <t>H_{Ed}</t>
  </si>
  <si>
    <t>Type</t>
  </si>
  <si>
    <t>h_{n}</t>
  </si>
  <si>
    <t>l_{n}</t>
  </si>
  <si>
    <t>p_{b}</t>
  </si>
  <si>
    <t>ConcreteClass</t>
  </si>
  <si>
    <t>f_{yk}</t>
  </si>
  <si>
    <t>N_{t}</t>
  </si>
  <si>
    <t>\66_{t}</t>
  </si>
  <si>
    <t>N_{u}</t>
  </si>
  <si>
    <t>\66_{u}</t>
  </si>
  <si>
    <t>N_{b}</t>
  </si>
  <si>
    <t>\66_{b}</t>
  </si>
  <si>
    <t>N_{v}</t>
  </si>
  <si>
    <t>N_{v,legs,end}</t>
  </si>
  <si>
    <t>N_{v,legs,beam}</t>
  </si>
  <si>
    <t>S_{v}</t>
  </si>
  <si>
    <t>Upper</t>
  </si>
  <si>
    <t>\73_{Rd,max}</t>
  </si>
  <si>
    <t>\73_{Ed,1}</t>
  </si>
  <si>
    <t>_\73Ed1U</t>
  </si>
  <si>
    <t>\73_{Ed,2}</t>
  </si>
  <si>
    <t>_\73Ed2U</t>
  </si>
  <si>
    <t>\73_{Ed,3}</t>
  </si>
  <si>
    <t>_\73Ed3U</t>
  </si>
  <si>
    <t>V_{Rd,max}</t>
  </si>
  <si>
    <t>_VRdmaxU</t>
  </si>
  <si>
    <t>A_{su,req}</t>
  </si>
  <si>
    <t>A_{su,prov}</t>
  </si>
  <si>
    <t>_AsuU</t>
  </si>
  <si>
    <t>_AsvU</t>
  </si>
  <si>
    <t>A_{sl_s1}</t>
  </si>
  <si>
    <t>d_{b_s1}</t>
  </si>
  <si>
    <t>mm^(2)/m</t>
  </si>
  <si>
    <t>h_{c}</t>
  </si>
  <si>
    <t>b_{c}</t>
  </si>
  <si>
    <t>b_{n}</t>
  </si>
  <si>
    <t>c_{nom_n}</t>
  </si>
  <si>
    <t>c_{nom_c}</t>
  </si>
  <si>
    <t>\66_{c}</t>
  </si>
  <si>
    <t>N_{v,n}</t>
  </si>
  <si>
    <t>N_{v,legs,n}</t>
  </si>
  <si>
    <t>\66_{v,n}</t>
  </si>
  <si>
    <t>N_{v,legs,c}</t>
  </si>
  <si>
    <t>\66_{v,c}</t>
  </si>
  <si>
    <t>S_{v,c}</t>
  </si>
  <si>
    <t>A_{s,n,req}</t>
  </si>
  <si>
    <t>A_{s,n,prov}</t>
  </si>
  <si>
    <t>_AsnU</t>
  </si>
  <si>
    <t>A_{sv,n,req}</t>
  </si>
  <si>
    <t>A_{sv,n,prov}</t>
  </si>
  <si>
    <t>_AsvnU</t>
  </si>
  <si>
    <t>z</t>
  </si>
  <si>
    <t>INPUT EFFECTIVE LENGTH DIRECTLY</t>
  </si>
  <si>
    <t>_CalcTitle</t>
  </si>
  <si>
    <t>ColumnMaterial</t>
  </si>
  <si>
    <t>ColumnSectionPage</t>
  </si>
  <si>
    <t>ColumnSectionSelected</t>
  </si>
  <si>
    <t>ColumnOrientation</t>
  </si>
  <si>
    <t>l_{x,bp}</t>
  </si>
  <si>
    <t>l_{y,bp}</t>
  </si>
  <si>
    <t>_Pedestal</t>
  </si>
  <si>
    <t>h_{ped}</t>
  </si>
  <si>
    <t>l_{x,ped}</t>
  </si>
  <si>
    <t>l_{y,ped}</t>
  </si>
  <si>
    <t>D_{cap}</t>
  </si>
  <si>
    <t>N_{p}</t>
  </si>
  <si>
    <t>PileMaterial</t>
  </si>
  <si>
    <t>PileSectionPage</t>
  </si>
  <si>
    <t>PileSectionSelected</t>
  </si>
  <si>
    <t>PileOrientation</t>
  </si>
  <si>
    <t>P_{pC,allow}</t>
  </si>
  <si>
    <t>P_{pT,allow}</t>
  </si>
  <si>
    <t>V_{p,allow}</t>
  </si>
  <si>
    <t>P_{D}</t>
  </si>
  <si>
    <t>P_{L}</t>
  </si>
  <si>
    <t>P_{D,sur}</t>
  </si>
  <si>
    <t>P_{L,sur}</t>
  </si>
  <si>
    <t>f_{y}</t>
  </si>
  <si>
    <t>N_{x.bot}</t>
  </si>
  <si>
    <t>Bar_{x.bot}</t>
  </si>
  <si>
    <t>N_{y.bot}</t>
  </si>
  <si>
    <t>Bar_{y.bot}</t>
  </si>
  <si>
    <t>psf</t>
  </si>
  <si>
    <t>Column 1A</t>
  </si>
  <si>
    <t>Steel</t>
  </si>
  <si>
    <t>W 16(100)</t>
  </si>
  <si>
    <t>Parallel</t>
  </si>
  <si>
    <t>HP</t>
  </si>
  <si>
    <t>HP 14(73)</t>
  </si>
  <si>
    <t>Column 2A</t>
  </si>
  <si>
    <t>Column 3A</t>
  </si>
  <si>
    <t>W 18(130)</t>
  </si>
  <si>
    <t>Column 4A</t>
  </si>
  <si>
    <t>Column properties</t>
  </si>
  <si>
    <t>Pile properties</t>
  </si>
  <si>
    <t>Loading details</t>
  </si>
  <si>
    <t>Design details</t>
  </si>
  <si>
    <t>_CalcResult</t>
  </si>
  <si>
    <t>_CalcResultUtil</t>
  </si>
  <si>
    <t>L_{x}</t>
  </si>
  <si>
    <t>L_{y}</t>
  </si>
  <si>
    <t>Design results</t>
  </si>
  <si>
    <t>Pile cap size</t>
  </si>
  <si>
    <t>l_{x,col}</t>
  </si>
  <si>
    <t>l_{y,col}</t>
  </si>
  <si>
    <t>PileSection</t>
  </si>
  <si>
    <t>h_{pile}</t>
  </si>
  <si>
    <t>Concrete</t>
  </si>
  <si>
    <t>\67_{conc}</t>
  </si>
  <si>
    <t>h_{soil}</t>
  </si>
  <si>
    <t>\67_{soil}</t>
  </si>
  <si>
    <t>\66_{x.bot}</t>
  </si>
  <si>
    <t>\66_{y.bot}</t>
  </si>
  <si>
    <t>N_{x.top}</t>
  </si>
  <si>
    <t>\66_{x.top}</t>
  </si>
  <si>
    <t>N_{y.top}</t>
  </si>
  <si>
    <t>\66_{y.top}</t>
  </si>
  <si>
    <t>c_{nom,bot}</t>
  </si>
  <si>
    <t>c_{nom,top}</t>
  </si>
  <si>
    <t>d_{embed}</t>
  </si>
  <si>
    <t>e_{tolerance}</t>
  </si>
  <si>
    <t>P_{pC,allow1}</t>
  </si>
  <si>
    <t>P_{pT,allow1}</t>
  </si>
  <si>
    <t>V_{p,allow1}</t>
  </si>
  <si>
    <t>P_{pC,allow2}</t>
  </si>
  <si>
    <t>P_{pT,allow2}</t>
  </si>
  <si>
    <t>V_{p,allow2}</t>
  </si>
  <si>
    <t>P_{G}</t>
  </si>
  <si>
    <t>P_{Q}</t>
  </si>
  <si>
    <t>P_{S}</t>
  </si>
  <si>
    <t>P_{W}</t>
  </si>
  <si>
    <t>p_{G,sur}</t>
  </si>
  <si>
    <t>p_{Q,sur}</t>
  </si>
  <si>
    <t>V_{xG}</t>
  </si>
  <si>
    <t>V_{xQ}</t>
  </si>
  <si>
    <t>V_{xS}</t>
  </si>
  <si>
    <t>V_{xW}</t>
  </si>
  <si>
    <t>V_{yG}</t>
  </si>
  <si>
    <t>V_{yQ}</t>
  </si>
  <si>
    <t>V_{yS}</t>
  </si>
  <si>
    <t>V_{yW}</t>
  </si>
  <si>
    <t>M_{yG}</t>
  </si>
  <si>
    <t>M_{yQ}</t>
  </si>
  <si>
    <t>M_{yS}</t>
  </si>
  <si>
    <t>M_{yW}</t>
  </si>
  <si>
    <t>M_{xG}</t>
  </si>
  <si>
    <t>M_{xQ}</t>
  </si>
  <si>
    <t>M_{xS}</t>
  </si>
  <si>
    <t>M_{xW}</t>
  </si>
  <si>
    <t>\79_{0}</t>
  </si>
  <si>
    <t>\79_{W}</t>
  </si>
  <si>
    <t>\79_{S}</t>
  </si>
  <si>
    <t>_SelectAllULSLC</t>
  </si>
  <si>
    <t>_SelectAllULS_DLC</t>
  </si>
  <si>
    <t>kN/m^(3)</t>
  </si>
  <si>
    <t>Example  01</t>
  </si>
  <si>
    <t>Example  02</t>
  </si>
  <si>
    <t>Square</t>
  </si>
  <si>
    <t>Example  03</t>
  </si>
  <si>
    <t>Title</t>
  </si>
  <si>
    <t>Material details</t>
  </si>
  <si>
    <t>Cap details</t>
  </si>
  <si>
    <t>Bottom reinforcement</t>
  </si>
  <si>
    <t>Top reinforcement</t>
  </si>
  <si>
    <t>Cover</t>
  </si>
  <si>
    <t>Pile resistances - combination C1</t>
  </si>
  <si>
    <t>Pile resistances - combination C2</t>
  </si>
  <si>
    <t>Column axial loads</t>
  </si>
  <si>
    <t>Surcharge loads</t>
  </si>
  <si>
    <t>Column shear loads, along x axis</t>
  </si>
  <si>
    <t>Column shear loads, along y axis</t>
  </si>
  <si>
    <t>Column moment loads, about y-y axis</t>
  </si>
  <si>
    <t>Column moment loads, about x-x axis</t>
  </si>
  <si>
    <t>Combination factors</t>
  </si>
  <si>
    <t>Include all the combinations - Analysis</t>
  </si>
  <si>
    <t>Include all the combinations - Design</t>
  </si>
  <si>
    <t>_summarySTRPileComp</t>
  </si>
  <si>
    <t>_summarySTRPileShear</t>
  </si>
  <si>
    <t>_summarySTRPileTension</t>
  </si>
  <si>
    <t>_summarySTRFlexure</t>
  </si>
  <si>
    <t>_summarySTROWModShear</t>
  </si>
  <si>
    <t>_summarySTRTWColModShear</t>
  </si>
  <si>
    <t>_summarySTRTWPileShear</t>
  </si>
  <si>
    <t>_summarySTRTWPilePairShear</t>
  </si>
  <si>
    <t>_summarySTROWPileShear</t>
  </si>
  <si>
    <t>Overall results</t>
  </si>
  <si>
    <t>Analysis results</t>
  </si>
  <si>
    <t>ColOrientation</t>
  </si>
  <si>
    <t>254(254(107))</t>
  </si>
  <si>
    <t>305(305(240))</t>
  </si>
  <si>
    <t>SizeClassification_{s1}</t>
  </si>
  <si>
    <t>2'' &amp;&amp; wider</t>
  </si>
  <si>
    <t>10'' wide</t>
  </si>
  <si>
    <t>8'' wide</t>
  </si>
  <si>
    <t>Advanced Options</t>
  </si>
  <si>
    <t>Prompt when finished</t>
  </si>
  <si>
    <t>ADVANCED OPTIONS</t>
  </si>
  <si>
    <t>Pre calculate expressions</t>
  </si>
  <si>
    <t>When the batch design has finished or after each design case show a message box prompt. You can view the Tedds progress log window until this windows is closed.</t>
  </si>
  <si>
    <t>Update input:</t>
  </si>
  <si>
    <t>Prompt when finished:</t>
  </si>
  <si>
    <t>Pre calculate expressions:</t>
  </si>
  <si>
    <t>_SpliceType</t>
  </si>
  <si>
    <t>_SectionSelected</t>
  </si>
  <si>
    <t>_isFckInputDirectly</t>
  </si>
  <si>
    <t>_ConcreteClassSelected</t>
  </si>
  <si>
    <t>f_{ck}</t>
  </si>
  <si>
    <t>\66_{ProjectingBars}</t>
  </si>
  <si>
    <t>\66_{sleeve}</t>
  </si>
  <si>
    <t>cover_{sl}</t>
  </si>
  <si>
    <t>Length_{ProjectingBars}</t>
  </si>
  <si>
    <t>BondingCondition</t>
  </si>
  <si>
    <t>\61_{1.ProjectingBars}</t>
  </si>
  <si>
    <t>\61_{2.ProjectingBars}</t>
  </si>
  <si>
    <t>\61_{3.ProjectingBars}</t>
  </si>
  <si>
    <t>\61_{4.ProjectingBars}</t>
  </si>
  <si>
    <t>\61_{5.ProjectingBars}</t>
  </si>
  <si>
    <t>ColumnToColumn</t>
  </si>
  <si>
    <t>Good</t>
  </si>
  <si>
    <t>ColumnToBeam</t>
  </si>
  <si>
    <t>Poor</t>
  </si>
  <si>
    <t>ColumnToBase</t>
  </si>
  <si>
    <t>C70/85</t>
  </si>
  <si>
    <t>SPLICE SECTION</t>
  </si>
  <si>
    <t>PROJECTING BARS</t>
  </si>
  <si>
    <t>ANCHORAGE CONDITION &amp; COEFFICIENTS</t>
  </si>
  <si>
    <t>f_{bd}</t>
  </si>
  <si>
    <t>l_{b,d,prov}</t>
  </si>
  <si>
    <t>l_{b,d}</t>
  </si>
  <si>
    <t>UR_l_{bd}</t>
  </si>
  <si>
    <t>PASSFAIL_l_{bd}</t>
  </si>
  <si>
    <t>BOND STRESS</t>
  </si>
  <si>
    <t>ANCHORAGE LENGTH</t>
  </si>
  <si>
    <t>When calculating each design case these expressions will be calculated first allowing you to set additional variables using SetVar(varName, value).</t>
  </si>
  <si>
    <t>NationalAnnex</t>
  </si>
  <si>
    <t>b_{nom}</t>
  </si>
  <si>
    <t>b_{tf}</t>
  </si>
  <si>
    <t>h_{tf}</t>
  </si>
  <si>
    <t>h_{bf}</t>
  </si>
  <si>
    <t>b_{w,i}</t>
  </si>
  <si>
    <t>b_{w,e}</t>
  </si>
  <si>
    <t>A_{c}</t>
  </si>
  <si>
    <t>h_{na}</t>
  </si>
  <si>
    <t>S_{c}</t>
  </si>
  <si>
    <t>I_{c}</t>
  </si>
  <si>
    <t>L_{e}</t>
  </si>
  <si>
    <t>F_{live}</t>
  </si>
  <si>
    <t>F_{part}</t>
  </si>
  <si>
    <t>F_{fin}</t>
  </si>
  <si>
    <t>F_{top}</t>
  </si>
  <si>
    <t>\67_{G}</t>
  </si>
  <si>
    <t>\67_{Q}</t>
  </si>
  <si>
    <t>\79_{2}</t>
  </si>
  <si>
    <t>CementClass</t>
  </si>
  <si>
    <t>Aggregate</t>
  </si>
  <si>
    <t>h_{agg}</t>
  </si>
  <si>
    <t>\65_{uk}</t>
  </si>
  <si>
    <t>StrandClass</t>
  </si>
  <si>
    <t>StrandType</t>
  </si>
  <si>
    <t>BondCondition</t>
  </si>
  <si>
    <t>E_{p}</t>
  </si>
  <si>
    <t>c_{s1}</t>
  </si>
  <si>
    <t>N_{s2}</t>
  </si>
  <si>
    <t>\66_{s2}</t>
  </si>
  <si>
    <t>c_{s2}</t>
  </si>
  <si>
    <t>t_{release}</t>
  </si>
  <si>
    <t>Release</t>
  </si>
  <si>
    <t>t_{1}</t>
  </si>
  <si>
    <t>t_{2}</t>
  </si>
  <si>
    <t>DefineCompStr</t>
  </si>
  <si>
    <t>f_{ck,t}</t>
  </si>
  <si>
    <t>Perimeter</t>
  </si>
  <si>
    <t>RH_{release}</t>
  </si>
  <si>
    <t>RH_{ambient}</t>
  </si>
  <si>
    <t>\64_{0,limit,d}</t>
  </si>
  <si>
    <t>\64_{1,limit,d}</t>
  </si>
  <si>
    <t>\64_{inf,limit,d}</t>
  </si>
  <si>
    <t>mm^(3)</t>
  </si>
  <si>
    <t>GB</t>
  </si>
  <si>
    <t>Quartzite</t>
  </si>
  <si>
    <t>Standard</t>
  </si>
  <si>
    <t>Gradual</t>
  </si>
  <si>
    <t>1 month</t>
  </si>
  <si>
    <t>3 months</t>
  </si>
  <si>
    <t>Basalt</t>
  </si>
  <si>
    <t>Super</t>
  </si>
  <si>
    <t>15 days</t>
  </si>
  <si>
    <t>M_{R,bottom}</t>
  </si>
  <si>
    <t>M_{R,top}</t>
  </si>
  <si>
    <t>M_{sls}</t>
  </si>
  <si>
    <t>_MslsU</t>
  </si>
  <si>
    <t>M_{R}</t>
  </si>
  <si>
    <t>M_{uls}</t>
  </si>
  <si>
    <t>_MulsU</t>
  </si>
  <si>
    <t>V_{x}</t>
  </si>
  <si>
    <t>V_{Rd,c,c}</t>
  </si>
  <si>
    <t>_VulsCrU</t>
  </si>
  <si>
    <t>V_{uls}</t>
  </si>
  <si>
    <t>V_{Rd,c,u}</t>
  </si>
  <si>
    <t>_VulsU</t>
  </si>
  <si>
    <t>\73_{sp}</t>
  </si>
  <si>
    <t>f_{ctk,0.05,t}</t>
  </si>
  <si>
    <t>_\73spU</t>
  </si>
  <si>
    <t>\73_{c}</t>
  </si>
  <si>
    <t>f_{c,t}</t>
  </si>
  <si>
    <t>_fcU</t>
  </si>
  <si>
    <t>f_{t,t}</t>
  </si>
  <si>
    <t>\73_{t}</t>
  </si>
  <si>
    <t>_ftU</t>
  </si>
  <si>
    <t>f_{c,c}</t>
  </si>
  <si>
    <t>\73_{c,c}</t>
  </si>
  <si>
    <t>_fccU</t>
  </si>
  <si>
    <t>f_{t,c}</t>
  </si>
  <si>
    <t>\73_{t,c}</t>
  </si>
  <si>
    <t>_ftcU</t>
  </si>
  <si>
    <t>\64_{0}</t>
  </si>
  <si>
    <t>\64_{0,limit}</t>
  </si>
  <si>
    <t>_\640U</t>
  </si>
  <si>
    <t>\64_{1}</t>
  </si>
  <si>
    <t>\64_{1,limit}</t>
  </si>
  <si>
    <t>_\641U</t>
  </si>
  <si>
    <t>\64_{inf}</t>
  </si>
  <si>
    <t>\64_{inf,limit}</t>
  </si>
  <si>
    <t>_\64infU</t>
  </si>
  <si>
    <t>M_{z,add,Ed}</t>
  </si>
  <si>
    <t>T_{t,Ed}</t>
  </si>
  <si>
    <t>T_{w,Ed}</t>
  </si>
  <si>
    <t>V_{c,y,Rd}</t>
  </si>
  <si>
    <t>V_{c,z,Rd}</t>
  </si>
  <si>
    <t>M_{z,Ed,total}</t>
  </si>
  <si>
    <t>M_{w,Ed}</t>
  </si>
  <si>
    <t>M_{w,Rd}</t>
  </si>
  <si>
    <t>WarpingU</t>
  </si>
  <si>
    <t>BendingTorsionU</t>
  </si>
  <si>
    <t>VerificationU</t>
  </si>
  <si>
    <t>1.0.14</t>
  </si>
  <si>
    <t>DATA</t>
  </si>
  <si>
    <t>Save As PDF</t>
  </si>
  <si>
    <t>$(UserLbrDir)Ground Bearing Slab.lbr</t>
  </si>
  <si>
    <t>FULL-GroundBearingSlab2</t>
  </si>
  <si>
    <t>L_{k}</t>
  </si>
  <si>
    <t>B_{k}</t>
  </si>
  <si>
    <t>H_{k}</t>
  </si>
  <si>
    <t>G_{k}</t>
  </si>
  <si>
    <t>L_{b}</t>
  </si>
  <si>
    <t>W_{b}</t>
  </si>
  <si>
    <t>t_{b}</t>
  </si>
  <si>
    <t>cu</t>
  </si>
  <si>
    <t>\67_{sat}</t>
  </si>
  <si>
    <t>\67_{moist}</t>
  </si>
  <si>
    <t>D</t>
  </si>
  <si>
    <t>D_{w}</t>
  </si>
  <si>
    <t>q_{p}</t>
  </si>
  <si>
    <t>c_{f}</t>
  </si>
  <si>
    <t>a_{cc}</t>
  </si>
  <si>
    <t>spac</t>
  </si>
  <si>
    <t>U_{bear}</t>
  </si>
  <si>
    <t>deg</t>
  </si>
  <si>
    <t>m^(2)</t>
  </si>
  <si>
    <t>C:\Users\davpot1953\Costain Group Plc\Digital Engineering Solutions - AutoDesign\02-Workstreams\18-Ground Bearing Slab\TEST1-CCTV Jenna-May Hill\Output Deliverables</t>
  </si>
  <si>
    <t>\66'_{k}</t>
  </si>
  <si>
    <t>c'_{k}</t>
  </si>
  <si>
    <t>Completed 1 designs in 8.03 seconds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</si>
</sst>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4" x14ac:knownFonts="1">
    <font>
      <sz val="11"/>
      <color theme="1"/>
      <name val="Calibri"/>
      <family val="2"/>
      <scheme val="minor"/>
    </font>
    <font>
      <sz val="11"/>
      <color theme="1"/>
      <name val="Calibri"/>
      <family val="2"/>
      <scheme val="minor"/>
    </font>
    <font>
      <sz val="11"/>
      <color theme="0"/>
      <name val="Calibri"/>
      <family val="2"/>
      <scheme val="minor"/>
    </font>
    <font>
      <b/>
      <sz val="11"/>
      <color theme="1"/>
      <name val="Calibri"/>
      <family val="2"/>
      <scheme val="minor"/>
    </font>
    <font>
      <b/>
      <sz val="11"/>
      <color rgb="FFFF0000"/>
      <name val="Calibri"/>
      <family val="2"/>
      <scheme val="minor"/>
    </font>
    <font>
      <sz val="11"/>
      <name val="Calibri"/>
      <family val="2"/>
      <scheme val="minor"/>
    </font>
    <font>
      <b/>
      <sz val="11"/>
      <color theme="0"/>
      <name val="Calibri"/>
      <family val="2"/>
      <scheme val="minor"/>
    </font>
    <font>
      <sz val="9"/>
      <color rgb="FF000080"/>
      <name val="Courier New"/>
      <family val="3"/>
    </font>
    <font>
      <sz val="11"/>
      <color rgb="FF000000"/>
      <name val="Calibri"/>
      <family val="2"/>
    </font>
    <font>
      <b/>
      <sz val="9"/>
      <color indexed="81"/>
      <name val="Tahoma"/>
      <family val="2"/>
    </font>
    <font>
      <sz val="9"/>
      <color indexed="81"/>
      <name val="Tahoma"/>
      <family val="2"/>
    </font>
    <font>
      <sz val="9"/>
      <color rgb="FF000000"/>
      <name val="Arial"/>
      <family val="2"/>
    </font>
    <font>
      <sz val="8"/>
      <name val="Calibri"/>
      <family val="2"/>
      <scheme val="minor"/>
    </font>
    <font>
      <u/>
      <sz val="11"/>
      <color theme="10"/>
      <name val="Calibri"/>
      <family val="2"/>
      <scheme val="minor"/>
    </font>
  </fonts>
  <fills count="24">
    <fill>
      <patternFill patternType="none"/>
    </fill>
    <fill>
      <patternFill patternType="gray125"/>
    </fill>
    <fill>
      <patternFill patternType="solid">
        <fgColor theme="6"/>
      </patternFill>
    </fill>
    <fill>
      <patternFill patternType="solid">
        <fgColor theme="6" tint="0.79998168889431442"/>
        <bgColor indexed="65"/>
      </patternFill>
    </fill>
    <fill>
      <patternFill patternType="solid">
        <fgColor theme="8"/>
      </patternFill>
    </fill>
    <fill>
      <patternFill patternType="solid">
        <fgColor theme="8" tint="0.39997558519241921"/>
        <bgColor indexed="65"/>
      </patternFill>
    </fill>
    <fill>
      <patternFill patternType="solid">
        <fgColor theme="7" tint="0.59999389629810485"/>
        <bgColor indexed="65"/>
      </patternFill>
    </fill>
    <fill>
      <patternFill patternType="solid">
        <fgColor theme="9"/>
      </patternFill>
    </fill>
    <fill>
      <patternFill patternType="solid">
        <fgColor theme="8"/>
        <bgColor indexed="64"/>
      </patternFill>
    </fill>
    <fill>
      <patternFill patternType="solid">
        <fgColor theme="8" tint="0.39997558519241921"/>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002060"/>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theme="0" tint="-4.9989318521683403E-2"/>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theme="1"/>
      </right>
      <top/>
      <bottom/>
      <diagonal/>
    </border>
    <border>
      <left style="thin">
        <color theme="1"/>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indexed="64"/>
      </left>
      <right style="thin">
        <color indexed="64"/>
      </right>
      <top style="thin">
        <color theme="1"/>
      </top>
      <bottom style="thin">
        <color indexed="64"/>
      </bottom>
      <diagonal/>
    </border>
    <border>
      <left/>
      <right/>
      <top style="thin">
        <color theme="1"/>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theme="1"/>
      </bottom>
      <diagonal/>
    </border>
    <border>
      <left/>
      <right/>
      <top/>
      <bottom style="thin">
        <color theme="1"/>
      </bottom>
      <diagonal/>
    </border>
    <border>
      <left/>
      <right style="thin">
        <color indexed="64"/>
      </right>
      <top/>
      <bottom style="thin">
        <color theme="1"/>
      </bottom>
      <diagonal/>
    </border>
    <border>
      <left/>
      <right style="thin">
        <color theme="1"/>
      </right>
      <top/>
      <bottom style="thin">
        <color theme="1"/>
      </bottom>
      <diagonal/>
    </border>
    <border>
      <left style="thin">
        <color indexed="64"/>
      </left>
      <right/>
      <top style="thin">
        <color theme="1"/>
      </top>
      <bottom style="thin">
        <color indexed="64"/>
      </bottom>
      <diagonal/>
    </border>
    <border>
      <left/>
      <right style="thin">
        <color indexed="64"/>
      </right>
      <top style="thin">
        <color theme="1"/>
      </top>
      <bottom style="thin">
        <color indexed="64"/>
      </bottom>
      <diagonal/>
    </border>
    <border>
      <left style="thin">
        <color theme="1"/>
      </left>
      <right/>
      <top/>
      <bottom style="thin">
        <color theme="1"/>
      </bottom>
      <diagonal/>
    </border>
  </borders>
  <cellStyleXfs count="8">
    <xf numFmtId="0" fontId="0" fillId="0" borderId="0"/>
    <xf numFmtId="0" fontId="2" fillId="2" borderId="0" applyNumberFormat="0" applyBorder="0" applyAlignment="0" applyProtection="0"/>
    <xf numFmtId="0" fontId="1"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1" fillId="6" borderId="0" applyNumberFormat="0" applyBorder="0" applyAlignment="0" applyProtection="0"/>
    <xf numFmtId="0" fontId="2" fillId="7" borderId="0" applyNumberFormat="0" applyBorder="0" applyAlignment="0" applyProtection="0"/>
    <xf numFmtId="0" fontId="13" fillId="0" borderId="0" applyNumberFormat="0" applyFill="0" applyBorder="0" applyAlignment="0" applyProtection="0"/>
  </cellStyleXfs>
  <cellXfs count="313">
    <xf numFmtId="0" fontId="0" fillId="0" borderId="0" xfId="0"/>
    <xf numFmtId="0" fontId="2" fillId="2" borderId="0" xfId="1"/>
    <xf numFmtId="0" fontId="2" fillId="4" borderId="0" xfId="3"/>
    <xf numFmtId="0" fontId="2" fillId="5" borderId="0" xfId="4"/>
    <xf numFmtId="0" fontId="3" fillId="0" borderId="0" xfId="0" applyFont="1"/>
    <xf numFmtId="0" fontId="1" fillId="6" borderId="0" xfId="5"/>
    <xf numFmtId="0" fontId="4" fillId="0" borderId="0" xfId="0" applyFont="1"/>
    <xf numFmtId="0" fontId="0" fillId="6" borderId="0" xfId="5" applyFont="1"/>
    <xf numFmtId="0" fontId="2" fillId="7" borderId="0" xfId="6" applyAlignment="1">
      <alignment wrapText="1"/>
    </xf>
    <xf numFmtId="0" fontId="0" fillId="6" borderId="0" xfId="5" applyFont="1" applyAlignment="1">
      <alignment horizontal="left"/>
    </xf>
    <xf numFmtId="0" fontId="0" fillId="0" borderId="0" xfId="0" applyFont="1"/>
    <xf numFmtId="49" fontId="0" fillId="0" borderId="0" xfId="0" applyNumberFormat="1"/>
    <xf numFmtId="164" fontId="1" fillId="3" borderId="0" xfId="2" applyNumberFormat="1"/>
    <xf numFmtId="164" fontId="5" fillId="3" borderId="0" xfId="2" applyNumberFormat="1" applyFont="1"/>
    <xf numFmtId="1" fontId="0" fillId="6" borderId="0" xfId="5" applyNumberFormat="1" applyFont="1"/>
    <xf numFmtId="2" fontId="0" fillId="0" borderId="0" xfId="0" applyNumberFormat="1"/>
    <xf numFmtId="49" fontId="3" fillId="0" borderId="0" xfId="0" applyNumberFormat="1" applyFont="1"/>
    <xf numFmtId="164" fontId="0" fillId="0" borderId="0" xfId="0" applyNumberFormat="1"/>
    <xf numFmtId="0" fontId="2" fillId="4" borderId="0" xfId="3" applyAlignment="1">
      <alignment horizontal="center"/>
    </xf>
    <xf numFmtId="49" fontId="2" fillId="4" borderId="0" xfId="3" applyNumberFormat="1" applyAlignment="1">
      <alignment horizont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0" fontId="2" fillId="2" borderId="0" xfId="1" applyAlignment="1">
      <alignment horizontal="center"/>
    </xf>
    <xf numFmtId="0" fontId="0" fillId="0" borderId="0" xfId="0" quotePrefix="1"/>
    <xf numFmtId="164" fontId="2" fillId="2" borderId="0" xfId="1" applyNumberFormat="1"/>
    <xf numFmtId="0" fontId="0" fillId="0" borderId="0" xfId="0" applyAlignment="1">
      <alignment horizontal="center" vertical="center"/>
    </xf>
    <xf numFmtId="0" fontId="6" fillId="9" borderId="0" xfId="0" applyFont="1" applyFill="1" applyBorder="1" applyAlignment="1">
      <alignment horizontal="center" vertical="center"/>
    </xf>
    <xf numFmtId="0" fontId="7" fillId="0" borderId="0" xfId="0" applyFont="1" applyAlignment="1">
      <alignment horizontal="center" vertical="center"/>
    </xf>
    <xf numFmtId="0" fontId="6" fillId="8" borderId="0" xfId="0" applyFont="1" applyFill="1" applyBorder="1" applyAlignment="1">
      <alignment horizontal="center" vertical="center"/>
    </xf>
    <xf numFmtId="0" fontId="0" fillId="0" borderId="0" xfId="0" applyBorder="1" applyAlignment="1">
      <alignment horizontal="center" vertical="center"/>
    </xf>
    <xf numFmtId="49" fontId="0" fillId="0" borderId="0" xfId="0" applyNumberFormat="1" applyFill="1" applyBorder="1" applyAlignment="1">
      <alignment horizontal="center" vertical="center"/>
    </xf>
    <xf numFmtId="0" fontId="0" fillId="0" borderId="0" xfId="0" applyFill="1" applyBorder="1" applyAlignment="1">
      <alignment horizontal="center" vertical="center"/>
    </xf>
    <xf numFmtId="0" fontId="0" fillId="0" borderId="0" xfId="0" applyNumberFormat="1" applyFill="1" applyBorder="1" applyAlignment="1">
      <alignment horizontal="center" vertical="center"/>
    </xf>
    <xf numFmtId="164" fontId="0" fillId="0" borderId="0" xfId="0" applyNumberFormat="1" applyFill="1" applyBorder="1" applyAlignment="1">
      <alignment horizontal="center" vertical="center"/>
    </xf>
    <xf numFmtId="164" fontId="0" fillId="0" borderId="0" xfId="0" applyNumberFormat="1" applyFill="1" applyBorder="1" applyAlignment="1">
      <alignment horizontal="left" vertical="center"/>
    </xf>
    <xf numFmtId="0" fontId="6" fillId="8" borderId="0" xfId="0" applyFont="1" applyFill="1" applyBorder="1" applyAlignment="1">
      <alignment horizontal="center" vertical="top"/>
    </xf>
    <xf numFmtId="49" fontId="0" fillId="0" borderId="0" xfId="0" applyNumberFormat="1" applyFill="1" applyBorder="1" applyAlignment="1">
      <alignment horizontal="left" vertical="center"/>
    </xf>
    <xf numFmtId="49" fontId="0" fillId="0" borderId="0" xfId="0" applyNumberFormat="1" applyFont="1" applyFill="1" applyBorder="1" applyAlignment="1">
      <alignment horizontal="center" vertical="center" wrapText="1"/>
    </xf>
    <xf numFmtId="49" fontId="0" fillId="0" borderId="0" xfId="0" applyNumberFormat="1" applyFont="1" applyFill="1" applyBorder="1" applyAlignment="1">
      <alignment horizontal="center" vertical="center"/>
    </xf>
    <xf numFmtId="0" fontId="2" fillId="4" borderId="0" xfId="3" applyFont="1"/>
    <xf numFmtId="165" fontId="0" fillId="6" borderId="0" xfId="5" applyNumberFormat="1" applyFont="1"/>
    <xf numFmtId="1" fontId="1" fillId="6" borderId="0" xfId="5" applyNumberFormat="1"/>
    <xf numFmtId="0" fontId="0" fillId="10" borderId="1" xfId="0" applyFill="1" applyBorder="1" applyAlignment="1">
      <alignment horizontal="center"/>
    </xf>
    <xf numFmtId="0" fontId="0" fillId="10" borderId="2" xfId="0" applyFill="1" applyBorder="1" applyAlignment="1"/>
    <xf numFmtId="0" fontId="0" fillId="0" borderId="0" xfId="0" applyBorder="1" applyAlignment="1"/>
    <xf numFmtId="1" fontId="1" fillId="3" borderId="0" xfId="2" applyNumberFormat="1"/>
    <xf numFmtId="2" fontId="1" fillId="3" borderId="0" xfId="2" applyNumberFormat="1"/>
    <xf numFmtId="0" fontId="2" fillId="4" borderId="5" xfId="3" applyBorder="1" applyAlignment="1">
      <alignment horizontal="center" vertical="center"/>
    </xf>
    <xf numFmtId="0" fontId="2" fillId="4" borderId="6" xfId="3" applyBorder="1" applyAlignment="1">
      <alignment horizontal="center" vertical="center"/>
    </xf>
    <xf numFmtId="0" fontId="2" fillId="4" borderId="7" xfId="3" applyBorder="1" applyAlignment="1">
      <alignment horizontal="center" vertical="center"/>
    </xf>
    <xf numFmtId="0" fontId="2" fillId="4" borderId="8" xfId="3" applyBorder="1" applyAlignment="1">
      <alignment horizontal="left" vertical="center"/>
    </xf>
    <xf numFmtId="0" fontId="2" fillId="4" borderId="9" xfId="3" applyBorder="1" applyAlignment="1">
      <alignment horizontal="center" vertical="center"/>
    </xf>
    <xf numFmtId="0" fontId="2" fillId="4" borderId="10" xfId="3" applyBorder="1" applyAlignment="1">
      <alignment horizontal="center" vertical="center"/>
    </xf>
    <xf numFmtId="0" fontId="2" fillId="4" borderId="8" xfId="3" applyBorder="1" applyAlignment="1">
      <alignment horizontal="center" vertical="center"/>
    </xf>
    <xf numFmtId="0" fontId="2" fillId="4" borderId="10" xfId="3" applyBorder="1" applyAlignment="1">
      <alignment horizontal="left" vertical="center"/>
    </xf>
    <xf numFmtId="0" fontId="2" fillId="4" borderId="11" xfId="3" applyBorder="1" applyAlignment="1">
      <alignment horizontal="left" vertical="center"/>
    </xf>
    <xf numFmtId="0" fontId="2" fillId="4" borderId="0" xfId="3" applyBorder="1" applyAlignment="1">
      <alignment horizontal="left" vertical="center"/>
    </xf>
    <xf numFmtId="0" fontId="2" fillId="4" borderId="5" xfId="3" applyBorder="1" applyAlignment="1">
      <alignment horizontal="left" vertical="center"/>
    </xf>
    <xf numFmtId="0" fontId="2" fillId="4" borderId="6" xfId="3" applyBorder="1" applyAlignment="1">
      <alignment horizontal="left" vertical="center"/>
    </xf>
    <xf numFmtId="0" fontId="2" fillId="4" borderId="7" xfId="3" applyBorder="1" applyAlignment="1">
      <alignment horizontal="left" vertical="center"/>
    </xf>
    <xf numFmtId="0" fontId="2" fillId="4" borderId="12" xfId="3" applyBorder="1" applyAlignment="1">
      <alignment horizontal="center" vertical="center"/>
    </xf>
    <xf numFmtId="0" fontId="2" fillId="4" borderId="0" xfId="3" applyBorder="1" applyAlignment="1">
      <alignment horizontal="center" vertical="center"/>
    </xf>
    <xf numFmtId="0" fontId="2" fillId="4" borderId="13" xfId="3" applyBorder="1" applyAlignment="1">
      <alignment horizontal="center" vertical="center"/>
    </xf>
    <xf numFmtId="0" fontId="2" fillId="4" borderId="14" xfId="3" applyBorder="1" applyAlignment="1">
      <alignment horizontal="center" vertical="center"/>
    </xf>
    <xf numFmtId="0" fontId="2" fillId="4" borderId="15" xfId="3" applyBorder="1" applyAlignment="1">
      <alignment horizontal="center" vertical="center"/>
    </xf>
    <xf numFmtId="0" fontId="2" fillId="4" borderId="16" xfId="3" applyBorder="1" applyAlignment="1">
      <alignment horizontal="center" vertical="center"/>
    </xf>
    <xf numFmtId="0" fontId="2" fillId="4" borderId="17" xfId="3" applyBorder="1" applyAlignment="1">
      <alignment horizontal="center" vertical="center"/>
    </xf>
    <xf numFmtId="0" fontId="2" fillId="4" borderId="18" xfId="3" applyBorder="1" applyAlignment="1">
      <alignment horizontal="center" vertical="center"/>
    </xf>
    <xf numFmtId="165" fontId="0" fillId="6" borderId="12" xfId="5" applyNumberFormat="1" applyFont="1" applyBorder="1" applyAlignment="1">
      <alignment horizontal="center" vertical="center"/>
    </xf>
    <xf numFmtId="165" fontId="0" fillId="6" borderId="0" xfId="5" applyNumberFormat="1" applyFont="1" applyBorder="1" applyAlignment="1">
      <alignment horizontal="center" vertical="center"/>
    </xf>
    <xf numFmtId="165" fontId="0" fillId="6" borderId="13" xfId="5" applyNumberFormat="1" applyFont="1" applyBorder="1" applyAlignment="1">
      <alignment horizontal="center" vertical="center"/>
    </xf>
    <xf numFmtId="49" fontId="0" fillId="6" borderId="14" xfId="5" applyNumberFormat="1" applyFont="1" applyBorder="1" applyAlignment="1">
      <alignment horizontal="center" vertical="center"/>
    </xf>
    <xf numFmtId="165" fontId="0" fillId="6" borderId="15" xfId="5" applyNumberFormat="1" applyFont="1" applyBorder="1" applyAlignment="1">
      <alignment horizontal="center" vertical="center"/>
    </xf>
    <xf numFmtId="165" fontId="0" fillId="6" borderId="14" xfId="5" applyNumberFormat="1" applyFont="1" applyBorder="1" applyAlignment="1">
      <alignment horizontal="center" vertical="center"/>
    </xf>
    <xf numFmtId="1" fontId="0" fillId="11" borderId="0" xfId="5" applyNumberFormat="1" applyFont="1" applyFill="1" applyBorder="1" applyAlignment="1">
      <alignment horizontal="center" vertical="center"/>
    </xf>
    <xf numFmtId="165" fontId="0" fillId="11" borderId="15" xfId="5" applyNumberFormat="1" applyFont="1" applyFill="1" applyBorder="1" applyAlignment="1">
      <alignment horizontal="center" vertical="center"/>
    </xf>
    <xf numFmtId="165" fontId="0" fillId="11" borderId="0" xfId="5" applyNumberFormat="1" applyFont="1" applyFill="1" applyBorder="1" applyAlignment="1">
      <alignment horizontal="center" vertical="center"/>
    </xf>
    <xf numFmtId="2" fontId="0" fillId="11" borderId="0" xfId="5" applyNumberFormat="1" applyFont="1" applyFill="1" applyBorder="1" applyAlignment="1">
      <alignment horizontal="center" vertical="center"/>
    </xf>
    <xf numFmtId="1" fontId="0" fillId="11" borderId="18" xfId="5" applyNumberFormat="1" applyFont="1" applyFill="1" applyBorder="1" applyAlignment="1">
      <alignment horizontal="center" vertical="center"/>
    </xf>
    <xf numFmtId="2" fontId="0" fillId="11" borderId="13" xfId="5" applyNumberFormat="1" applyFont="1" applyFill="1" applyBorder="1" applyAlignment="1">
      <alignment horizontal="center" vertical="center"/>
    </xf>
    <xf numFmtId="1" fontId="0" fillId="12" borderId="0" xfId="5" applyNumberFormat="1" applyFont="1" applyFill="1" applyBorder="1" applyAlignment="1">
      <alignment horizontal="center" vertical="center"/>
    </xf>
    <xf numFmtId="165" fontId="0" fillId="12" borderId="12" xfId="5" applyNumberFormat="1" applyFont="1" applyFill="1" applyBorder="1" applyAlignment="1">
      <alignment horizontal="center" vertical="center"/>
    </xf>
    <xf numFmtId="165" fontId="0" fillId="12" borderId="0" xfId="5" applyNumberFormat="1" applyFont="1" applyFill="1" applyBorder="1" applyAlignment="1">
      <alignment horizontal="center" vertical="center"/>
    </xf>
    <xf numFmtId="165" fontId="0" fillId="12" borderId="13" xfId="5" applyNumberFormat="1" applyFont="1" applyFill="1" applyBorder="1" applyAlignment="1">
      <alignment horizontal="center" vertical="center"/>
    </xf>
    <xf numFmtId="165" fontId="1" fillId="6" borderId="15" xfId="5" applyNumberFormat="1" applyBorder="1" applyAlignment="1">
      <alignment horizontal="center" vertical="center"/>
    </xf>
    <xf numFmtId="165" fontId="1" fillId="6" borderId="0" xfId="5" applyNumberFormat="1" applyBorder="1" applyAlignment="1">
      <alignment horizontal="center" vertical="center"/>
    </xf>
    <xf numFmtId="165" fontId="1" fillId="6" borderId="14" xfId="5" applyNumberFormat="1" applyBorder="1" applyAlignment="1">
      <alignment horizontal="center" vertical="center"/>
    </xf>
    <xf numFmtId="1" fontId="1" fillId="11" borderId="0" xfId="5" applyNumberFormat="1" applyFill="1" applyBorder="1" applyAlignment="1">
      <alignment horizontal="center" vertical="center"/>
    </xf>
    <xf numFmtId="165" fontId="1" fillId="11" borderId="15" xfId="5" applyNumberFormat="1" applyFill="1" applyBorder="1" applyAlignment="1">
      <alignment horizontal="center" vertical="center"/>
    </xf>
    <xf numFmtId="165" fontId="1" fillId="11" borderId="0" xfId="5" applyNumberFormat="1" applyFill="1" applyBorder="1" applyAlignment="1">
      <alignment horizontal="center" vertical="center"/>
    </xf>
    <xf numFmtId="2" fontId="1" fillId="11" borderId="0" xfId="5" applyNumberFormat="1" applyFill="1" applyBorder="1" applyAlignment="1">
      <alignment horizontal="center" vertical="center"/>
    </xf>
    <xf numFmtId="1" fontId="1" fillId="11" borderId="18" xfId="5" applyNumberFormat="1" applyFill="1" applyBorder="1" applyAlignment="1">
      <alignment horizontal="center" vertical="center"/>
    </xf>
    <xf numFmtId="2" fontId="1" fillId="11" borderId="13" xfId="5" applyNumberFormat="1" applyFill="1" applyBorder="1" applyAlignment="1">
      <alignment horizontal="center" vertical="center"/>
    </xf>
    <xf numFmtId="1" fontId="1" fillId="12" borderId="0" xfId="5" applyNumberFormat="1" applyFill="1" applyBorder="1" applyAlignment="1">
      <alignment horizontal="center" vertical="center"/>
    </xf>
    <xf numFmtId="165" fontId="1" fillId="12" borderId="12" xfId="5" applyNumberFormat="1" applyFill="1" applyBorder="1" applyAlignment="1">
      <alignment horizontal="center" vertical="center"/>
    </xf>
    <xf numFmtId="165" fontId="1" fillId="12" borderId="0" xfId="5" applyNumberFormat="1" applyFill="1" applyBorder="1" applyAlignment="1">
      <alignment horizontal="center" vertical="center"/>
    </xf>
    <xf numFmtId="165" fontId="1" fillId="12" borderId="13" xfId="5" applyNumberFormat="1" applyFill="1" applyBorder="1" applyAlignment="1">
      <alignment horizontal="center" vertical="center"/>
    </xf>
    <xf numFmtId="0" fontId="0" fillId="13" borderId="3" xfId="0" applyFill="1" applyBorder="1" applyAlignment="1">
      <alignment horizontal="left" vertical="center"/>
    </xf>
    <xf numFmtId="0" fontId="0" fillId="13" borderId="4" xfId="0" applyFill="1" applyBorder="1" applyAlignment="1">
      <alignment horizontal="left" vertical="center"/>
    </xf>
    <xf numFmtId="0" fontId="0" fillId="13" borderId="19" xfId="0" applyFill="1" applyBorder="1" applyAlignment="1">
      <alignment horizontal="center" vertical="center"/>
    </xf>
    <xf numFmtId="0" fontId="0" fillId="13" borderId="20" xfId="0" applyFill="1" applyBorder="1" applyAlignment="1">
      <alignment horizontal="left" vertical="center"/>
    </xf>
    <xf numFmtId="0" fontId="0" fillId="13" borderId="21" xfId="0" applyFill="1" applyBorder="1" applyAlignment="1">
      <alignment horizontal="center" vertical="center"/>
    </xf>
    <xf numFmtId="0" fontId="0" fillId="13" borderId="21" xfId="0" applyFill="1" applyBorder="1" applyAlignment="1">
      <alignment horizontal="left" vertical="center"/>
    </xf>
    <xf numFmtId="0" fontId="0" fillId="13" borderId="2" xfId="0" applyFill="1" applyBorder="1" applyAlignment="1">
      <alignment horizontal="center" vertical="center"/>
    </xf>
    <xf numFmtId="0" fontId="0" fillId="13" borderId="3" xfId="0" applyFill="1" applyBorder="1" applyAlignment="1">
      <alignment horizontal="center" vertical="center"/>
    </xf>
    <xf numFmtId="0" fontId="0" fillId="13" borderId="4" xfId="0" applyFill="1" applyBorder="1" applyAlignment="1">
      <alignment horizontal="center" vertical="center"/>
    </xf>
    <xf numFmtId="0" fontId="0" fillId="13" borderId="22" xfId="0" applyFill="1" applyBorder="1" applyAlignment="1">
      <alignment horizontal="center" vertical="center"/>
    </xf>
    <xf numFmtId="0" fontId="0" fillId="13" borderId="23" xfId="0" applyFill="1" applyBorder="1" applyAlignment="1">
      <alignment horizontal="center" vertical="center"/>
    </xf>
    <xf numFmtId="0" fontId="2" fillId="14" borderId="0" xfId="3" applyFill="1" applyBorder="1" applyAlignment="1">
      <alignment horizontal="center" vertical="center"/>
    </xf>
    <xf numFmtId="0" fontId="2" fillId="14" borderId="0" xfId="0" applyFont="1" applyFill="1" applyAlignment="1">
      <alignment horizontal="center" vertical="center"/>
    </xf>
    <xf numFmtId="0" fontId="0" fillId="14" borderId="0" xfId="0" applyFill="1" applyAlignment="1">
      <alignment horizontal="center" vertical="center"/>
    </xf>
    <xf numFmtId="0" fontId="2" fillId="15" borderId="0" xfId="3" applyFill="1" applyBorder="1" applyAlignment="1">
      <alignment horizontal="center" vertical="center"/>
    </xf>
    <xf numFmtId="0" fontId="0" fillId="16" borderId="0" xfId="0" applyFill="1" applyAlignment="1">
      <alignment horizontal="center" vertical="center"/>
    </xf>
    <xf numFmtId="0" fontId="0" fillId="0" borderId="0" xfId="0" applyAlignment="1">
      <alignment horizontal="left" vertical="center"/>
    </xf>
    <xf numFmtId="0" fontId="0" fillId="17" borderId="0" xfId="0" applyFill="1" applyAlignment="1">
      <alignment horizontal="center" vertical="center"/>
    </xf>
    <xf numFmtId="0" fontId="2" fillId="4" borderId="11" xfId="3" applyBorder="1" applyAlignment="1">
      <alignment horizontal="center" vertical="center"/>
    </xf>
    <xf numFmtId="0" fontId="2" fillId="4" borderId="24" xfId="3" applyBorder="1" applyAlignment="1">
      <alignment horizontal="center" vertical="center"/>
    </xf>
    <xf numFmtId="165" fontId="0" fillId="16" borderId="12" xfId="5" applyNumberFormat="1" applyFont="1" applyFill="1" applyBorder="1" applyAlignment="1">
      <alignment horizontal="center" vertical="center"/>
    </xf>
    <xf numFmtId="165" fontId="0" fillId="16" borderId="13" xfId="5" applyNumberFormat="1" applyFont="1" applyFill="1" applyBorder="1" applyAlignment="1">
      <alignment horizontal="center" vertical="center"/>
    </xf>
    <xf numFmtId="165" fontId="0" fillId="16" borderId="0" xfId="5" applyNumberFormat="1" applyFont="1" applyFill="1" applyBorder="1" applyAlignment="1">
      <alignment horizontal="center" vertical="center"/>
    </xf>
    <xf numFmtId="164" fontId="0" fillId="16" borderId="18" xfId="5" applyNumberFormat="1" applyFont="1" applyFill="1" applyBorder="1" applyAlignment="1">
      <alignment horizontal="center" vertical="center"/>
    </xf>
    <xf numFmtId="164" fontId="0" fillId="16" borderId="0" xfId="5" applyNumberFormat="1" applyFont="1" applyFill="1" applyBorder="1" applyAlignment="1">
      <alignment horizontal="center" vertical="center"/>
    </xf>
    <xf numFmtId="165" fontId="0" fillId="11" borderId="12" xfId="5" applyNumberFormat="1" applyFont="1" applyFill="1" applyBorder="1" applyAlignment="1">
      <alignment horizontal="center" vertical="center"/>
    </xf>
    <xf numFmtId="165" fontId="0" fillId="11" borderId="13" xfId="5" applyNumberFormat="1" applyFont="1" applyFill="1" applyBorder="1" applyAlignment="1">
      <alignment horizontal="center" vertical="center"/>
    </xf>
    <xf numFmtId="164" fontId="0" fillId="12" borderId="18" xfId="5" applyNumberFormat="1" applyFont="1" applyFill="1" applyBorder="1" applyAlignment="1">
      <alignment horizontal="center" vertical="center"/>
    </xf>
    <xf numFmtId="164" fontId="0" fillId="12" borderId="13" xfId="5" applyNumberFormat="1" applyFont="1" applyFill="1" applyBorder="1" applyAlignment="1">
      <alignment horizontal="center" vertical="center"/>
    </xf>
    <xf numFmtId="165" fontId="1" fillId="16" borderId="12" xfId="5" applyNumberFormat="1" applyFill="1" applyBorder="1" applyAlignment="1">
      <alignment horizontal="center" vertical="center"/>
    </xf>
    <xf numFmtId="165" fontId="1" fillId="16" borderId="13" xfId="5" applyNumberFormat="1" applyFill="1" applyBorder="1" applyAlignment="1">
      <alignment horizontal="center" vertical="center"/>
    </xf>
    <xf numFmtId="165" fontId="1" fillId="16" borderId="0" xfId="5" applyNumberFormat="1" applyFill="1" applyBorder="1" applyAlignment="1">
      <alignment horizontal="center" vertical="center"/>
    </xf>
    <xf numFmtId="164" fontId="1" fillId="16" borderId="18" xfId="5" applyNumberFormat="1" applyFill="1" applyBorder="1" applyAlignment="1">
      <alignment horizontal="center" vertical="center"/>
    </xf>
    <xf numFmtId="164" fontId="1" fillId="16" borderId="0" xfId="5" applyNumberFormat="1" applyFill="1" applyBorder="1" applyAlignment="1">
      <alignment horizontal="center" vertical="center"/>
    </xf>
    <xf numFmtId="165" fontId="1" fillId="11" borderId="12" xfId="5" applyNumberFormat="1" applyFill="1" applyBorder="1" applyAlignment="1">
      <alignment horizontal="center" vertical="center"/>
    </xf>
    <xf numFmtId="165" fontId="1" fillId="11" borderId="13" xfId="5" applyNumberFormat="1" applyFill="1" applyBorder="1" applyAlignment="1">
      <alignment horizontal="center" vertical="center"/>
    </xf>
    <xf numFmtId="164" fontId="1" fillId="12" borderId="18" xfId="5" applyNumberFormat="1" applyFill="1" applyBorder="1" applyAlignment="1">
      <alignment horizontal="center" vertical="center"/>
    </xf>
    <xf numFmtId="164" fontId="1" fillId="12" borderId="13" xfId="5" applyNumberFormat="1" applyFill="1" applyBorder="1" applyAlignment="1">
      <alignment horizontal="center" vertical="center"/>
    </xf>
    <xf numFmtId="165" fontId="1" fillId="16" borderId="16" xfId="5" applyNumberFormat="1" applyFill="1" applyBorder="1" applyAlignment="1">
      <alignment horizontal="center" vertical="center"/>
    </xf>
    <xf numFmtId="165" fontId="1" fillId="16" borderId="17" xfId="5" applyNumberFormat="1" applyFill="1" applyBorder="1" applyAlignment="1">
      <alignment horizontal="center" vertical="center"/>
    </xf>
    <xf numFmtId="165" fontId="1" fillId="16" borderId="24" xfId="5" applyNumberFormat="1" applyFill="1" applyBorder="1" applyAlignment="1">
      <alignment horizontal="center" vertical="center"/>
    </xf>
    <xf numFmtId="164" fontId="1" fillId="16" borderId="25" xfId="5" applyNumberFormat="1" applyFill="1" applyBorder="1" applyAlignment="1">
      <alignment horizontal="center" vertical="center"/>
    </xf>
    <xf numFmtId="164" fontId="1" fillId="16" borderId="24" xfId="5" applyNumberFormat="1" applyFill="1" applyBorder="1" applyAlignment="1">
      <alignment horizontal="center" vertical="center"/>
    </xf>
    <xf numFmtId="165" fontId="1" fillId="11" borderId="16" xfId="5" applyNumberFormat="1" applyFill="1" applyBorder="1" applyAlignment="1">
      <alignment horizontal="center" vertical="center"/>
    </xf>
    <xf numFmtId="165" fontId="1" fillId="11" borderId="24" xfId="5" applyNumberFormat="1" applyFill="1" applyBorder="1" applyAlignment="1">
      <alignment horizontal="center" vertical="center"/>
    </xf>
    <xf numFmtId="165" fontId="1" fillId="11" borderId="17" xfId="5" applyNumberFormat="1" applyFill="1" applyBorder="1" applyAlignment="1">
      <alignment horizontal="center" vertical="center"/>
    </xf>
    <xf numFmtId="164" fontId="1" fillId="12" borderId="25" xfId="5" applyNumberFormat="1" applyFill="1" applyBorder="1" applyAlignment="1">
      <alignment horizontal="center" vertical="center"/>
    </xf>
    <xf numFmtId="165" fontId="1" fillId="12" borderId="24" xfId="5" applyNumberFormat="1" applyFill="1" applyBorder="1" applyAlignment="1">
      <alignment horizontal="center" vertical="center"/>
    </xf>
    <xf numFmtId="164" fontId="1" fillId="12" borderId="17" xfId="5" applyNumberFormat="1" applyFill="1" applyBorder="1" applyAlignment="1">
      <alignment horizontal="center" vertical="center"/>
    </xf>
    <xf numFmtId="0" fontId="0" fillId="18" borderId="2" xfId="0" applyFill="1" applyBorder="1" applyAlignment="1">
      <alignment horizontal="left" vertical="center"/>
    </xf>
    <xf numFmtId="0" fontId="0" fillId="18" borderId="4" xfId="0" applyFill="1" applyBorder="1"/>
    <xf numFmtId="0" fontId="0" fillId="18" borderId="1" xfId="0" applyFill="1" applyBorder="1"/>
    <xf numFmtId="0" fontId="0" fillId="18" borderId="3" xfId="0" applyFill="1" applyBorder="1"/>
    <xf numFmtId="0" fontId="0" fillId="18" borderId="2" xfId="0" applyFill="1" applyBorder="1"/>
    <xf numFmtId="0" fontId="0" fillId="18" borderId="4" xfId="0" applyFill="1" applyBorder="1" applyAlignment="1">
      <alignment horizontal="left" vertical="center"/>
    </xf>
    <xf numFmtId="49" fontId="0" fillId="6" borderId="0" xfId="5" applyNumberFormat="1" applyFont="1" applyBorder="1" applyAlignment="1">
      <alignment horizontal="center" vertical="center"/>
    </xf>
    <xf numFmtId="2" fontId="0" fillId="6" borderId="0" xfId="5" applyNumberFormat="1" applyFont="1" applyBorder="1" applyAlignment="1">
      <alignment horizontal="center" vertical="center"/>
    </xf>
    <xf numFmtId="2" fontId="0" fillId="11" borderId="18" xfId="5" applyNumberFormat="1" applyFont="1" applyFill="1" applyBorder="1" applyAlignment="1">
      <alignment horizontal="center" vertical="center"/>
    </xf>
    <xf numFmtId="165" fontId="1" fillId="6" borderId="26" xfId="5" applyNumberFormat="1" applyBorder="1" applyAlignment="1">
      <alignment horizontal="center" vertical="center"/>
    </xf>
    <xf numFmtId="165" fontId="1" fillId="6" borderId="27" xfId="5" applyNumberFormat="1" applyBorder="1" applyAlignment="1">
      <alignment horizontal="center" vertical="center"/>
    </xf>
    <xf numFmtId="165" fontId="1" fillId="6" borderId="28" xfId="5" applyNumberFormat="1" applyBorder="1" applyAlignment="1">
      <alignment horizontal="center" vertical="center"/>
    </xf>
    <xf numFmtId="165" fontId="1" fillId="6" borderId="29" xfId="5" applyNumberFormat="1" applyBorder="1" applyAlignment="1">
      <alignment horizontal="center" vertical="center"/>
    </xf>
    <xf numFmtId="2" fontId="1" fillId="6" borderId="0" xfId="5" applyNumberFormat="1" applyBorder="1" applyAlignment="1">
      <alignment horizontal="center" vertical="center"/>
    </xf>
    <xf numFmtId="165" fontId="1" fillId="6" borderId="12" xfId="5" applyNumberFormat="1" applyBorder="1" applyAlignment="1">
      <alignment horizontal="center" vertical="center"/>
    </xf>
    <xf numFmtId="165" fontId="1" fillId="6" borderId="13" xfId="5" applyNumberFormat="1" applyBorder="1" applyAlignment="1">
      <alignment horizontal="center" vertical="center"/>
    </xf>
    <xf numFmtId="2" fontId="1" fillId="11" borderId="18" xfId="5" applyNumberFormat="1" applyFill="1" applyBorder="1" applyAlignment="1">
      <alignment horizontal="center" vertical="center"/>
    </xf>
    <xf numFmtId="0" fontId="0" fillId="13" borderId="30" xfId="0" applyFill="1" applyBorder="1" applyAlignment="1">
      <alignment horizontal="left" vertical="center"/>
    </xf>
    <xf numFmtId="0" fontId="0" fillId="13" borderId="31" xfId="0" applyFill="1" applyBorder="1" applyAlignment="1">
      <alignment horizontal="center" vertical="center"/>
    </xf>
    <xf numFmtId="0" fontId="0" fillId="13" borderId="31" xfId="0" applyFill="1" applyBorder="1" applyAlignment="1">
      <alignment horizontal="left" vertical="center"/>
    </xf>
    <xf numFmtId="0" fontId="0" fillId="13" borderId="2" xfId="0" applyFill="1" applyBorder="1" applyAlignment="1">
      <alignment horizontal="left" vertical="center"/>
    </xf>
    <xf numFmtId="0" fontId="0" fillId="13" borderId="1" xfId="0" applyFill="1" applyBorder="1" applyAlignment="1">
      <alignment horizontal="center" vertical="center"/>
    </xf>
    <xf numFmtId="2" fontId="0" fillId="16" borderId="0" xfId="5" applyNumberFormat="1" applyFont="1" applyFill="1" applyBorder="1" applyAlignment="1">
      <alignment horizontal="center" vertical="center"/>
    </xf>
    <xf numFmtId="2" fontId="0" fillId="16" borderId="13" xfId="5" applyNumberFormat="1" applyFont="1" applyFill="1" applyBorder="1" applyAlignment="1">
      <alignment horizontal="center" vertical="center"/>
    </xf>
    <xf numFmtId="2" fontId="1" fillId="16" borderId="0" xfId="5" applyNumberFormat="1" applyFill="1" applyBorder="1" applyAlignment="1">
      <alignment horizontal="center" vertical="center"/>
    </xf>
    <xf numFmtId="2" fontId="1" fillId="16" borderId="13" xfId="5" applyNumberFormat="1" applyFill="1" applyBorder="1" applyAlignment="1">
      <alignment horizontal="center" vertical="center"/>
    </xf>
    <xf numFmtId="0" fontId="0" fillId="18" borderId="24" xfId="0" applyFill="1" applyBorder="1" applyAlignment="1">
      <alignment horizontal="left" vertical="center"/>
    </xf>
    <xf numFmtId="0" fontId="0" fillId="18" borderId="24" xfId="0" applyFill="1" applyBorder="1"/>
    <xf numFmtId="0" fontId="0" fillId="18" borderId="3" xfId="0" applyFill="1" applyBorder="1" applyAlignment="1">
      <alignment horizontal="left" vertical="center"/>
    </xf>
    <xf numFmtId="49" fontId="0" fillId="6" borderId="12" xfId="5" applyNumberFormat="1" applyFont="1" applyBorder="1" applyAlignment="1">
      <alignment horizontal="center" vertical="center"/>
    </xf>
    <xf numFmtId="2" fontId="0" fillId="11" borderId="12" xfId="5" applyNumberFormat="1" applyFont="1" applyFill="1" applyBorder="1" applyAlignment="1">
      <alignment horizontal="center" vertical="center"/>
    </xf>
    <xf numFmtId="49" fontId="0" fillId="11" borderId="13" xfId="5" applyNumberFormat="1" applyFont="1" applyFill="1" applyBorder="1" applyAlignment="1">
      <alignment horizontal="center" vertical="center"/>
    </xf>
    <xf numFmtId="49" fontId="0" fillId="11" borderId="12" xfId="5" applyNumberFormat="1" applyFont="1" applyFill="1" applyBorder="1" applyAlignment="1">
      <alignment horizontal="center" vertical="center"/>
    </xf>
    <xf numFmtId="49" fontId="1" fillId="6" borderId="0" xfId="5" applyNumberFormat="1" applyBorder="1" applyAlignment="1">
      <alignment horizontal="center" vertical="center"/>
    </xf>
    <xf numFmtId="0" fontId="0" fillId="13" borderId="3" xfId="0" applyFill="1" applyBorder="1" applyAlignment="1">
      <alignment vertical="center"/>
    </xf>
    <xf numFmtId="0" fontId="0" fillId="13" borderId="4" xfId="0" applyFill="1" applyBorder="1" applyAlignment="1">
      <alignment vertical="center"/>
    </xf>
    <xf numFmtId="0" fontId="0" fillId="13" borderId="2" xfId="0" applyFill="1" applyBorder="1" applyAlignment="1">
      <alignment vertical="center"/>
    </xf>
    <xf numFmtId="0" fontId="0" fillId="0" borderId="0" xfId="0" applyBorder="1"/>
    <xf numFmtId="1" fontId="0" fillId="16" borderId="12" xfId="5" applyNumberFormat="1" applyFont="1" applyFill="1" applyBorder="1" applyAlignment="1">
      <alignment horizontal="center" vertical="center"/>
    </xf>
    <xf numFmtId="1" fontId="0" fillId="16" borderId="0" xfId="5" applyNumberFormat="1" applyFont="1" applyFill="1" applyBorder="1" applyAlignment="1">
      <alignment horizontal="center" vertical="center"/>
    </xf>
    <xf numFmtId="1" fontId="0" fillId="16" borderId="13" xfId="5" applyNumberFormat="1" applyFont="1" applyFill="1" applyBorder="1" applyAlignment="1">
      <alignment horizontal="center" vertical="center"/>
    </xf>
    <xf numFmtId="1" fontId="1" fillId="16" borderId="12" xfId="5" applyNumberFormat="1" applyFill="1" applyBorder="1" applyAlignment="1">
      <alignment horizontal="center" vertical="center"/>
    </xf>
    <xf numFmtId="1" fontId="1" fillId="16" borderId="0" xfId="5" applyNumberFormat="1" applyFill="1" applyBorder="1" applyAlignment="1">
      <alignment horizontal="center" vertical="center"/>
    </xf>
    <xf numFmtId="1" fontId="1" fillId="16" borderId="13" xfId="5" applyNumberFormat="1" applyFill="1" applyBorder="1" applyAlignment="1">
      <alignment horizontal="center" vertical="center"/>
    </xf>
    <xf numFmtId="0" fontId="0" fillId="13" borderId="1" xfId="0" applyFill="1" applyBorder="1" applyAlignment="1">
      <alignment horizontal="left" vertical="center"/>
    </xf>
    <xf numFmtId="0" fontId="3" fillId="0" borderId="0" xfId="0" applyFont="1" applyAlignment="1">
      <alignment horizontal="center"/>
    </xf>
    <xf numFmtId="2" fontId="0" fillId="0" borderId="0" xfId="0" applyNumberFormat="1" applyAlignment="1">
      <alignment horizontal="center"/>
    </xf>
    <xf numFmtId="165" fontId="1" fillId="6" borderId="32" xfId="5" applyNumberFormat="1" applyBorder="1" applyAlignment="1">
      <alignment horizontal="center" vertical="center"/>
    </xf>
    <xf numFmtId="0" fontId="0" fillId="13" borderId="17" xfId="0" applyFill="1" applyBorder="1" applyAlignment="1">
      <alignment horizontal="center" vertical="center"/>
    </xf>
    <xf numFmtId="0" fontId="2" fillId="19" borderId="0" xfId="0" applyFont="1" applyFill="1"/>
    <xf numFmtId="0" fontId="0" fillId="20" borderId="3" xfId="0" applyFill="1" applyBorder="1" applyAlignment="1">
      <alignment horizontal="center" vertical="center"/>
    </xf>
    <xf numFmtId="0" fontId="2" fillId="21" borderId="0" xfId="0" applyFont="1" applyFill="1"/>
    <xf numFmtId="0" fontId="2" fillId="4" borderId="13" xfId="3" applyBorder="1"/>
    <xf numFmtId="0" fontId="2" fillId="19" borderId="0" xfId="3" applyFont="1" applyFill="1"/>
    <xf numFmtId="0" fontId="2" fillId="19" borderId="13" xfId="0" applyFont="1" applyFill="1" applyBorder="1"/>
    <xf numFmtId="2" fontId="0" fillId="0" borderId="13" xfId="0" applyNumberFormat="1" applyBorder="1"/>
    <xf numFmtId="0" fontId="0" fillId="0" borderId="17" xfId="0" applyBorder="1"/>
    <xf numFmtId="0" fontId="2" fillId="2" borderId="13" xfId="1" applyBorder="1"/>
    <xf numFmtId="0" fontId="2" fillId="8" borderId="0" xfId="3" applyFill="1"/>
    <xf numFmtId="0" fontId="2" fillId="8" borderId="13" xfId="3" applyFill="1" applyBorder="1"/>
    <xf numFmtId="0" fontId="2" fillId="8" borderId="5" xfId="0" applyFont="1" applyFill="1" applyBorder="1"/>
    <xf numFmtId="0" fontId="2" fillId="8" borderId="7" xfId="0" applyFont="1" applyFill="1" applyBorder="1"/>
    <xf numFmtId="0" fontId="2" fillId="8" borderId="5" xfId="3" applyFill="1" applyBorder="1"/>
    <xf numFmtId="0" fontId="2" fillId="8" borderId="6" xfId="3" applyFill="1" applyBorder="1"/>
    <xf numFmtId="0" fontId="2" fillId="8" borderId="7" xfId="3" applyFill="1" applyBorder="1"/>
    <xf numFmtId="0" fontId="2" fillId="8" borderId="0" xfId="0" applyFont="1" applyFill="1"/>
    <xf numFmtId="0" fontId="2" fillId="8" borderId="13" xfId="0" applyFont="1" applyFill="1" applyBorder="1"/>
    <xf numFmtId="0" fontId="2" fillId="8" borderId="0" xfId="3" applyFont="1" applyFill="1"/>
    <xf numFmtId="0" fontId="2" fillId="8" borderId="6" xfId="0" applyFont="1" applyFill="1" applyBorder="1"/>
    <xf numFmtId="0" fontId="2" fillId="8" borderId="11" xfId="0" applyFont="1" applyFill="1" applyBorder="1"/>
    <xf numFmtId="0" fontId="2" fillId="8" borderId="12" xfId="0" applyFont="1" applyFill="1" applyBorder="1"/>
    <xf numFmtId="0" fontId="2" fillId="8" borderId="12" xfId="3" applyFill="1" applyBorder="1"/>
    <xf numFmtId="0" fontId="2" fillId="8" borderId="0" xfId="3" applyFill="1" applyBorder="1"/>
    <xf numFmtId="0" fontId="2" fillId="8" borderId="0" xfId="0" applyFont="1" applyFill="1" applyBorder="1"/>
    <xf numFmtId="0" fontId="2" fillId="8" borderId="18" xfId="0" applyFont="1" applyFill="1" applyBorder="1"/>
    <xf numFmtId="2" fontId="0" fillId="11" borderId="0" xfId="0" applyNumberFormat="1" applyFill="1"/>
    <xf numFmtId="2" fontId="0" fillId="11" borderId="13" xfId="0" applyNumberFormat="1" applyFill="1" applyBorder="1"/>
    <xf numFmtId="49" fontId="0" fillId="11" borderId="12" xfId="0" applyNumberFormat="1" applyFill="1" applyBorder="1"/>
    <xf numFmtId="2" fontId="0" fillId="11" borderId="12" xfId="0" applyNumberFormat="1" applyFill="1" applyBorder="1"/>
    <xf numFmtId="2" fontId="0" fillId="11" borderId="0" xfId="0" applyNumberFormat="1" applyFill="1" applyBorder="1"/>
    <xf numFmtId="2" fontId="0" fillId="11" borderId="18" xfId="0" applyNumberFormat="1" applyFill="1" applyBorder="1"/>
    <xf numFmtId="0" fontId="0" fillId="11" borderId="12" xfId="0" applyFill="1" applyBorder="1"/>
    <xf numFmtId="0" fontId="0" fillId="11" borderId="0" xfId="0" applyFill="1"/>
    <xf numFmtId="0" fontId="0" fillId="11" borderId="17" xfId="0" applyFill="1" applyBorder="1"/>
    <xf numFmtId="0" fontId="0" fillId="11" borderId="13" xfId="0" applyFill="1" applyBorder="1"/>
    <xf numFmtId="0" fontId="0" fillId="11" borderId="0" xfId="0" applyFill="1" applyBorder="1"/>
    <xf numFmtId="0" fontId="0" fillId="11" borderId="16" xfId="0" applyFill="1" applyBorder="1"/>
    <xf numFmtId="0" fontId="0" fillId="11" borderId="18" xfId="0" applyFill="1" applyBorder="1"/>
    <xf numFmtId="0" fontId="0" fillId="20" borderId="2" xfId="0" applyFill="1" applyBorder="1" applyAlignment="1">
      <alignment horizontal="left"/>
    </xf>
    <xf numFmtId="0" fontId="0" fillId="20" borderId="3" xfId="0" applyFill="1" applyBorder="1" applyAlignment="1">
      <alignment horizontal="left"/>
    </xf>
    <xf numFmtId="0" fontId="0" fillId="20" borderId="4" xfId="0" applyFill="1" applyBorder="1" applyAlignment="1">
      <alignment horizontal="left"/>
    </xf>
    <xf numFmtId="0" fontId="0" fillId="20" borderId="2" xfId="0" applyFill="1" applyBorder="1" applyAlignment="1">
      <alignment horizontal="left" vertical="center"/>
    </xf>
    <xf numFmtId="0" fontId="0" fillId="20" borderId="3" xfId="0" applyFill="1" applyBorder="1" applyAlignment="1">
      <alignment horizontal="left" vertical="center"/>
    </xf>
    <xf numFmtId="0" fontId="0" fillId="20" borderId="4" xfId="0" applyFill="1" applyBorder="1" applyAlignment="1">
      <alignment horizontal="left" vertical="center"/>
    </xf>
    <xf numFmtId="0" fontId="0" fillId="20" borderId="1" xfId="0" applyFill="1" applyBorder="1" applyAlignment="1">
      <alignment horizontal="left"/>
    </xf>
    <xf numFmtId="0" fontId="0" fillId="0" borderId="0" xfId="0" applyAlignment="1">
      <alignment horizontal="left"/>
    </xf>
    <xf numFmtId="0" fontId="2" fillId="22" borderId="0" xfId="0" applyFont="1" applyFill="1"/>
    <xf numFmtId="0" fontId="2" fillId="22" borderId="5" xfId="1" applyFill="1" applyBorder="1"/>
    <xf numFmtId="0" fontId="2" fillId="22" borderId="7" xfId="1" applyFill="1" applyBorder="1"/>
    <xf numFmtId="0" fontId="2" fillId="22" borderId="5" xfId="0" applyFont="1" applyFill="1" applyBorder="1"/>
    <xf numFmtId="0" fontId="2" fillId="22" borderId="6" xfId="0" applyFont="1" applyFill="1" applyBorder="1"/>
    <xf numFmtId="0" fontId="2" fillId="22" borderId="7" xfId="0" applyFont="1" applyFill="1" applyBorder="1"/>
    <xf numFmtId="0" fontId="2" fillId="22" borderId="12" xfId="1" applyFill="1" applyBorder="1"/>
    <xf numFmtId="0" fontId="2" fillId="22" borderId="13" xfId="1" applyFill="1" applyBorder="1"/>
    <xf numFmtId="0" fontId="2" fillId="22" borderId="12" xfId="0" applyFont="1" applyFill="1" applyBorder="1"/>
    <xf numFmtId="0" fontId="2" fillId="22" borderId="0" xfId="0" applyFont="1" applyFill="1" applyBorder="1"/>
    <xf numFmtId="0" fontId="2" fillId="22" borderId="13" xfId="0" applyFont="1" applyFill="1" applyBorder="1"/>
    <xf numFmtId="2" fontId="0" fillId="10" borderId="0" xfId="0" applyNumberFormat="1" applyFill="1"/>
    <xf numFmtId="2" fontId="0" fillId="10" borderId="12" xfId="0" applyNumberFormat="1" applyFill="1" applyBorder="1"/>
    <xf numFmtId="2" fontId="0" fillId="10" borderId="13" xfId="0" applyNumberFormat="1" applyFill="1" applyBorder="1"/>
    <xf numFmtId="0" fontId="0" fillId="10" borderId="12" xfId="0" applyFill="1" applyBorder="1"/>
    <xf numFmtId="0" fontId="0" fillId="10" borderId="0" xfId="0" applyFill="1" applyBorder="1"/>
    <xf numFmtId="0" fontId="0" fillId="10" borderId="13" xfId="0" applyFill="1" applyBorder="1"/>
    <xf numFmtId="0" fontId="0" fillId="10" borderId="0" xfId="0" applyFill="1"/>
    <xf numFmtId="0" fontId="0" fillId="10" borderId="16" xfId="0" applyFill="1" applyBorder="1"/>
    <xf numFmtId="0" fontId="0" fillId="10" borderId="17" xfId="0" applyFill="1" applyBorder="1"/>
    <xf numFmtId="0" fontId="0" fillId="10" borderId="24" xfId="0" applyFill="1" applyBorder="1"/>
    <xf numFmtId="0" fontId="0" fillId="0" borderId="0" xfId="0" applyBorder="1" applyAlignment="1">
      <alignment horizontal="left"/>
    </xf>
    <xf numFmtId="0" fontId="2" fillId="8" borderId="11" xfId="3" applyFill="1" applyBorder="1"/>
    <xf numFmtId="0" fontId="2" fillId="8" borderId="18" xfId="3" applyFill="1" applyBorder="1"/>
    <xf numFmtId="49" fontId="0" fillId="11" borderId="0" xfId="0" applyNumberFormat="1" applyFill="1"/>
    <xf numFmtId="2" fontId="0" fillId="23" borderId="0" xfId="0" applyNumberFormat="1" applyFill="1"/>
    <xf numFmtId="2" fontId="0" fillId="23" borderId="12" xfId="0" applyNumberFormat="1" applyFill="1" applyBorder="1"/>
    <xf numFmtId="2" fontId="0" fillId="23" borderId="13" xfId="0" applyNumberFormat="1" applyFill="1" applyBorder="1"/>
    <xf numFmtId="0" fontId="0" fillId="23" borderId="12" xfId="0" applyFill="1" applyBorder="1"/>
    <xf numFmtId="0" fontId="0" fillId="23" borderId="0" xfId="0" applyFill="1" applyBorder="1"/>
    <xf numFmtId="0" fontId="0" fillId="23" borderId="13" xfId="0" applyFill="1" applyBorder="1"/>
    <xf numFmtId="0" fontId="0" fillId="23" borderId="0" xfId="0" applyFill="1"/>
    <xf numFmtId="0" fontId="0" fillId="23" borderId="16" xfId="0" applyFill="1" applyBorder="1"/>
    <xf numFmtId="0" fontId="0" fillId="23" borderId="17" xfId="0" applyFill="1" applyBorder="1"/>
    <xf numFmtId="0" fontId="0" fillId="23" borderId="24" xfId="0" applyFill="1" applyBorder="1"/>
    <xf numFmtId="0" fontId="2" fillId="4" borderId="0" xfId="3" applyFont="1" applyAlignment="1">
      <alignment horizontal="center"/>
    </xf>
    <xf numFmtId="0" fontId="11" fillId="0" borderId="0" xfId="0" applyFont="1"/>
    <xf numFmtId="0" fontId="0" fillId="13" borderId="3" xfId="0" applyFill="1" applyBorder="1" applyAlignment="1">
      <alignment horizontal="center" vertical="center"/>
    </xf>
    <xf numFmtId="0" fontId="0" fillId="13" borderId="4" xfId="0" applyFill="1" applyBorder="1" applyAlignment="1">
      <alignment horizontal="center" vertical="center"/>
    </xf>
    <xf numFmtId="0" fontId="0" fillId="6" borderId="0" xfId="5" applyFont="1" applyAlignment="1">
      <alignment vertical="top" wrapText="1"/>
    </xf>
    <xf numFmtId="165" fontId="0" fillId="6" borderId="12" xfId="5" applyNumberFormat="1" applyFont="1" applyBorder="1" applyAlignment="1">
      <alignment horizontal="left" vertical="center"/>
    </xf>
    <xf numFmtId="49" fontId="0" fillId="6" borderId="13" xfId="5" applyNumberFormat="1" applyFont="1" applyBorder="1" applyAlignment="1">
      <alignment horizontal="center" vertical="center"/>
    </xf>
    <xf numFmtId="2" fontId="0" fillId="6" borderId="12" xfId="5" applyNumberFormat="1" applyFont="1" applyBorder="1" applyAlignment="1">
      <alignment horizontal="center" vertical="center"/>
    </xf>
    <xf numFmtId="49" fontId="1" fillId="6" borderId="12" xfId="5" applyNumberFormat="1" applyBorder="1" applyAlignment="1">
      <alignment horizontal="center" vertical="center"/>
    </xf>
    <xf numFmtId="2" fontId="1" fillId="6" borderId="12" xfId="5" applyNumberFormat="1" applyBorder="1" applyAlignment="1">
      <alignment horizontal="center" vertical="center"/>
    </xf>
    <xf numFmtId="49" fontId="1" fillId="6" borderId="16" xfId="5" applyNumberFormat="1" applyBorder="1" applyAlignment="1">
      <alignment horizontal="center" vertical="center"/>
    </xf>
    <xf numFmtId="165" fontId="1" fillId="6" borderId="24" xfId="5" applyNumberFormat="1" applyBorder="1" applyAlignment="1">
      <alignment horizontal="center" vertical="center"/>
    </xf>
    <xf numFmtId="165" fontId="1" fillId="6" borderId="17" xfId="5" applyNumberFormat="1" applyBorder="1" applyAlignment="1">
      <alignment horizontal="center" vertical="center"/>
    </xf>
    <xf numFmtId="0" fontId="0" fillId="13" borderId="32" xfId="0" applyFill="1" applyBorder="1" applyAlignment="1">
      <alignment horizontal="left" vertical="center"/>
    </xf>
    <xf numFmtId="0" fontId="0" fillId="13" borderId="27" xfId="0" applyFill="1" applyBorder="1" applyAlignment="1">
      <alignment horizontal="center" vertical="center"/>
    </xf>
    <xf numFmtId="0" fontId="0" fillId="13" borderId="29" xfId="0" applyFill="1" applyBorder="1" applyAlignment="1">
      <alignment horizontal="center" vertical="center"/>
    </xf>
    <xf numFmtId="165" fontId="0" fillId="16" borderId="18" xfId="5" applyNumberFormat="1" applyFont="1" applyFill="1" applyBorder="1" applyAlignment="1">
      <alignment horizontal="center" vertical="center"/>
    </xf>
    <xf numFmtId="49" fontId="0" fillId="16" borderId="13" xfId="5" applyNumberFormat="1" applyFont="1" applyFill="1" applyBorder="1" applyAlignment="1">
      <alignment horizontal="center" vertical="center"/>
    </xf>
    <xf numFmtId="165" fontId="1" fillId="16" borderId="18" xfId="5" applyNumberFormat="1" applyFill="1" applyBorder="1" applyAlignment="1">
      <alignment horizontal="center" vertical="center"/>
    </xf>
    <xf numFmtId="49" fontId="1" fillId="16" borderId="13" xfId="5" applyNumberFormat="1" applyFill="1" applyBorder="1" applyAlignment="1">
      <alignment horizontal="center" vertical="center"/>
    </xf>
    <xf numFmtId="165" fontId="1" fillId="16" borderId="25" xfId="5" applyNumberFormat="1" applyFill="1" applyBorder="1" applyAlignment="1">
      <alignment horizontal="center" vertical="center"/>
    </xf>
    <xf numFmtId="0" fontId="0" fillId="18" borderId="1" xfId="0" applyFill="1" applyBorder="1" applyAlignment="1">
      <alignment horizontal="left" vertical="center"/>
    </xf>
    <xf numFmtId="0" fontId="13" fillId="0" borderId="0" xfId="7"/>
    <xf numFmtId="0" fontId="0" fillId="20" borderId="2" xfId="0"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0" fillId="11" borderId="1" xfId="0" applyFill="1" applyBorder="1" applyAlignment="1">
      <alignment horizontal="center"/>
    </xf>
    <xf numFmtId="0" fontId="0" fillId="11" borderId="3" xfId="0" applyFill="1" applyBorder="1" applyAlignment="1">
      <alignment horizontal="center"/>
    </xf>
    <xf numFmtId="0" fontId="0" fillId="11" borderId="4" xfId="0" applyFill="1" applyBorder="1" applyAlignment="1">
      <alignment horizontal="center"/>
    </xf>
    <xf numFmtId="0" fontId="0" fillId="13" borderId="2" xfId="0" applyFill="1" applyBorder="1" applyAlignment="1">
      <alignment horizontal="center" vertical="center"/>
    </xf>
    <xf numFmtId="0" fontId="0" fillId="13" borderId="3" xfId="0" applyFill="1" applyBorder="1" applyAlignment="1">
      <alignment horizontal="center" vertical="center"/>
    </xf>
    <xf numFmtId="0" fontId="0" fillId="13" borderId="4" xfId="0" applyFill="1" applyBorder="1" applyAlignment="1">
      <alignment horizontal="center" vertical="center"/>
    </xf>
    <xf numFmtId="0" fontId="0" fillId="10" borderId="2" xfId="0" applyFill="1" applyBorder="1" applyAlignment="1">
      <alignment horizontal="center"/>
    </xf>
    <xf numFmtId="0" fontId="0" fillId="10" borderId="3" xfId="0" applyFill="1" applyBorder="1" applyAlignment="1">
      <alignment horizontal="center"/>
    </xf>
    <xf numFmtId="0" fontId="0" fillId="10" borderId="4" xfId="0" applyFill="1" applyBorder="1" applyAlignment="1">
      <alignment horizontal="center"/>
    </xf>
  </cellXfs>
  <cellStyles count="8">
    <cellStyle name="20% - Accent3" xfId="2" builtinId="38"/>
    <cellStyle name="40% - Accent4" xfId="5" builtinId="43"/>
    <cellStyle name="60% - Accent5" xfId="4" builtinId="48"/>
    <cellStyle name="Accent3" xfId="1" builtinId="37"/>
    <cellStyle name="Accent5" xfId="3" builtinId="45"/>
    <cellStyle name="Accent6" xfId="6" builtinId="49"/>
    <cellStyle name="Hyperlink" xfId="7"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82"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calcChain" Target="calcChain.xml"/><Relationship Id="rId8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15</xdr:row>
          <xdr:rowOff>0</xdr:rowOff>
        </xdr:from>
        <xdr:to>
          <xdr:col>2</xdr:col>
          <xdr:colOff>9525</xdr:colOff>
          <xdr:row>16</xdr:row>
          <xdr:rowOff>9525</xdr:rowOff>
        </xdr:to>
        <xdr:sp macro="" textlink="">
          <xdr:nvSpPr>
            <xdr:cNvPr id="2050" name="Calculation.Calculate" descr="Calculate batch design" hidden="1">
              <a:extLst>
                <a:ext uri="{63B3BB69-23CF-44E3-9099-C40C66FF867C}">
                  <a14:compatExt spid="_x0000_s2050"/>
                </a:ext>
                <a:ext uri="{FF2B5EF4-FFF2-40B4-BE49-F238E27FC236}">
                  <a16:creationId xmlns:a16="http://schemas.microsoft.com/office/drawing/2014/main" id="{00000000-0008-0000-36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21</xdr:row>
          <xdr:rowOff>0</xdr:rowOff>
        </xdr:from>
        <xdr:to>
          <xdr:col>0</xdr:col>
          <xdr:colOff>3781425</xdr:colOff>
          <xdr:row>21</xdr:row>
          <xdr:rowOff>180975</xdr:rowOff>
        </xdr:to>
        <xdr:sp macro="" textlink="">
          <xdr:nvSpPr>
            <xdr:cNvPr id="2052" name="Calculation.CheckForUpdate" hidden="1">
              <a:extLst>
                <a:ext uri="{63B3BB69-23CF-44E3-9099-C40C66FF867C}">
                  <a14:compatExt spid="_x0000_s2052"/>
                </a:ext>
                <a:ext uri="{FF2B5EF4-FFF2-40B4-BE49-F238E27FC236}">
                  <a16:creationId xmlns:a16="http://schemas.microsoft.com/office/drawing/2014/main" id="{00000000-0008-0000-36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Check for 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4"/>
  <sheetViews>
    <sheetView topLeftCell="A16" workbookViewId="0">
      <selection activeCell="E27" sqref="E27"/>
    </sheetView>
  </sheetViews>
  <sheetFormatPr defaultRowHeight="15" x14ac:dyDescent="0.25"/>
  <cols>
    <col min="1" max="1" width="45.5703125" bestFit="1" customWidth="1"/>
    <col min="2" max="2" width="62.140625" bestFit="1" customWidth="1"/>
    <col min="3" max="3" width="29.7109375" bestFit="1" customWidth="1"/>
    <col min="4" max="4" width="33.85546875" bestFit="1" customWidth="1"/>
    <col min="5" max="5" width="30.7109375" bestFit="1" customWidth="1"/>
  </cols>
  <sheetData>
    <row r="1" spans="1:8" x14ac:dyDescent="0.25">
      <c r="A1" t="s">
        <v>16</v>
      </c>
      <c r="B1" t="s">
        <v>17</v>
      </c>
      <c r="C1" t="s">
        <v>18</v>
      </c>
      <c r="D1" t="s">
        <v>19</v>
      </c>
      <c r="E1" t="s">
        <v>20</v>
      </c>
      <c r="G1" t="s">
        <v>22</v>
      </c>
      <c r="H1" t="s">
        <v>23</v>
      </c>
    </row>
    <row r="2" spans="1:8" x14ac:dyDescent="0.25">
      <c r="A2" t="s">
        <v>0</v>
      </c>
      <c r="B2" t="s">
        <v>0</v>
      </c>
      <c r="C2" t="s">
        <v>21</v>
      </c>
      <c r="D2" t="s">
        <v>0</v>
      </c>
      <c r="E2" t="s">
        <v>0</v>
      </c>
      <c r="G2" t="s">
        <v>595</v>
      </c>
      <c r="H2" t="s">
        <v>24</v>
      </c>
    </row>
    <row r="3" spans="1:8" x14ac:dyDescent="0.25">
      <c r="A3">
        <v>1</v>
      </c>
      <c r="B3">
        <v>2</v>
      </c>
      <c r="C3">
        <v>3</v>
      </c>
      <c r="D3">
        <v>4</v>
      </c>
      <c r="E3">
        <v>5</v>
      </c>
    </row>
    <row r="4" spans="1:8" x14ac:dyDescent="0.25">
      <c r="A4">
        <v>2</v>
      </c>
      <c r="B4">
        <v>4</v>
      </c>
      <c r="C4">
        <v>6</v>
      </c>
      <c r="D4">
        <v>8</v>
      </c>
      <c r="E4">
        <v>10</v>
      </c>
    </row>
  </sheetData>
  <dataConsolidate/>
  <pageMargins left="0.7" right="0.7" top="0.75" bottom="0.75" header="0.3" footer="0.3"/>
  <pageSetup orientation="portrait" horizontalDpi="300" verticalDpi="0" copies="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8"/>
  <dimension ref="A1:H4"/>
  <sheetViews>
    <sheetView topLeftCell="C1" workbookViewId="0">
      <selection activeCell="H9" sqref="H9"/>
    </sheetView>
  </sheetViews>
  <sheetFormatPr defaultRowHeight="15" x14ac:dyDescent="0.25"/>
  <cols>
    <col min="1" max="1" width="16.28515625" bestFit="1" customWidth="1"/>
    <col min="2" max="2" width="28.42578125" customWidth="1"/>
    <col min="3" max="3" width="19.85546875" bestFit="1" customWidth="1"/>
    <col min="4" max="4" width="15.28515625" bestFit="1" customWidth="1"/>
    <col min="5" max="5" width="11.7109375" bestFit="1" customWidth="1"/>
    <col min="6" max="6" width="11.5703125" bestFit="1" customWidth="1"/>
    <col min="7" max="7" width="11.28515625" bestFit="1" customWidth="1"/>
    <col min="8" max="8" width="11.140625" bestFit="1" customWidth="1"/>
    <col min="9" max="9" width="6.140625" bestFit="1" customWidth="1"/>
    <col min="10" max="10" width="9.5703125" bestFit="1" customWidth="1"/>
    <col min="11" max="11" width="23.7109375" bestFit="1" customWidth="1"/>
    <col min="12" max="12" width="10.42578125" bestFit="1" customWidth="1"/>
    <col min="13" max="13" width="8.28515625" bestFit="1" customWidth="1"/>
    <col min="14" max="14" width="23.7109375" bestFit="1" customWidth="1"/>
    <col min="15" max="15" width="10.42578125" bestFit="1" customWidth="1"/>
    <col min="16" max="16" width="8.28515625" bestFit="1" customWidth="1"/>
  </cols>
  <sheetData>
    <row r="1" spans="1:8" x14ac:dyDescent="0.25">
      <c r="A1" t="s">
        <v>16</v>
      </c>
      <c r="B1" t="s">
        <v>17</v>
      </c>
      <c r="C1" t="s">
        <v>18</v>
      </c>
      <c r="D1" t="s">
        <v>19</v>
      </c>
      <c r="E1" t="s">
        <v>20</v>
      </c>
      <c r="G1" t="s">
        <v>22</v>
      </c>
      <c r="H1" t="s">
        <v>23</v>
      </c>
    </row>
    <row r="2" spans="1:8" x14ac:dyDescent="0.25">
      <c r="A2" t="s">
        <v>0</v>
      </c>
      <c r="B2" t="s">
        <v>0</v>
      </c>
      <c r="C2" t="s">
        <v>21</v>
      </c>
      <c r="D2" t="s">
        <v>0</v>
      </c>
      <c r="E2" t="s">
        <v>0</v>
      </c>
      <c r="G2" t="s">
        <v>595</v>
      </c>
      <c r="H2" t="s">
        <v>24</v>
      </c>
    </row>
    <row r="3" spans="1:8" x14ac:dyDescent="0.25">
      <c r="A3">
        <v>1</v>
      </c>
      <c r="B3">
        <v>2</v>
      </c>
      <c r="C3">
        <v>3</v>
      </c>
      <c r="D3">
        <v>4</v>
      </c>
      <c r="E3">
        <v>5</v>
      </c>
    </row>
    <row r="4" spans="1:8" ht="14.25" customHeight="1" x14ac:dyDescent="0.25">
      <c r="A4">
        <v>2</v>
      </c>
      <c r="B4">
        <v>4</v>
      </c>
      <c r="C4">
        <v>6</v>
      </c>
      <c r="D4">
        <v>8</v>
      </c>
      <c r="E4">
        <v>10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9"/>
  <dimension ref="A1:W40"/>
  <sheetViews>
    <sheetView topLeftCell="F1" workbookViewId="0">
      <selection activeCell="F1" sqref="F1:W1048576"/>
    </sheetView>
  </sheetViews>
  <sheetFormatPr defaultRowHeight="15" x14ac:dyDescent="0.25"/>
  <cols>
    <col min="2" max="2" width="12.5703125" bestFit="1" customWidth="1"/>
    <col min="3" max="3" width="12.42578125" customWidth="1"/>
    <col min="4" max="4" width="9" customWidth="1"/>
    <col min="5" max="5" width="10.5703125" customWidth="1"/>
    <col min="6" max="6" width="10" bestFit="1" customWidth="1"/>
    <col min="7" max="8" width="8.28515625" bestFit="1" customWidth="1"/>
    <col min="9" max="9" width="9.85546875" customWidth="1"/>
    <col min="10" max="10" width="8.140625" bestFit="1" customWidth="1"/>
    <col min="11" max="11" width="8.85546875" bestFit="1" customWidth="1"/>
    <col min="12" max="12" width="10.42578125" bestFit="1" customWidth="1"/>
    <col min="13" max="13" width="10.7109375" bestFit="1" customWidth="1"/>
    <col min="14" max="14" width="10.5703125" bestFit="1" customWidth="1"/>
    <col min="15" max="15" width="13.5703125" bestFit="1" customWidth="1"/>
    <col min="16" max="16" width="10.28515625" bestFit="1" customWidth="1"/>
    <col min="17" max="17" width="10.42578125" bestFit="1" customWidth="1"/>
    <col min="18" max="18" width="9.42578125" bestFit="1" customWidth="1"/>
    <col min="19" max="19" width="9.5703125" bestFit="1" customWidth="1"/>
    <col min="20" max="20" width="9.7109375" bestFit="1" customWidth="1"/>
    <col min="21" max="21" width="16.28515625" bestFit="1" customWidth="1"/>
    <col min="22" max="22" width="12.7109375" bestFit="1" customWidth="1"/>
    <col min="23" max="23" width="8.7109375" bestFit="1" customWidth="1"/>
  </cols>
  <sheetData>
    <row r="1" spans="1:23" x14ac:dyDescent="0.25">
      <c r="A1" s="1" t="s">
        <v>220</v>
      </c>
      <c r="B1" s="1" t="s">
        <v>1239</v>
      </c>
      <c r="C1" s="1" t="s">
        <v>1240</v>
      </c>
      <c r="D1" s="1" t="s">
        <v>1241</v>
      </c>
      <c r="E1" s="1" t="s">
        <v>221</v>
      </c>
      <c r="F1" s="1" t="s">
        <v>1242</v>
      </c>
      <c r="G1" s="1" t="s">
        <v>286</v>
      </c>
      <c r="H1" s="1" t="s">
        <v>223</v>
      </c>
      <c r="I1" s="1" t="s">
        <v>1243</v>
      </c>
      <c r="J1" s="1" t="s">
        <v>287</v>
      </c>
      <c r="K1" s="1" t="s">
        <v>225</v>
      </c>
      <c r="L1" s="1" t="s">
        <v>226</v>
      </c>
      <c r="M1" s="1" t="s">
        <v>227</v>
      </c>
      <c r="N1" s="1" t="s">
        <v>285</v>
      </c>
      <c r="O1" s="1" t="s">
        <v>1244</v>
      </c>
      <c r="P1" s="1" t="s">
        <v>229</v>
      </c>
      <c r="Q1" s="1" t="s">
        <v>284</v>
      </c>
      <c r="R1" s="1" t="s">
        <v>1245</v>
      </c>
      <c r="S1" s="1" t="s">
        <v>1246</v>
      </c>
      <c r="T1" s="1" t="s">
        <v>1247</v>
      </c>
      <c r="U1" s="1" t="s">
        <v>1248</v>
      </c>
      <c r="V1" s="1" t="s">
        <v>1249</v>
      </c>
      <c r="W1" s="1" t="s">
        <v>121</v>
      </c>
    </row>
    <row r="2" spans="1:23" x14ac:dyDescent="0.25">
      <c r="A2" s="1"/>
      <c r="B2" s="1" t="s">
        <v>90</v>
      </c>
      <c r="C2" s="1" t="s">
        <v>90</v>
      </c>
      <c r="D2" s="1" t="s">
        <v>90</v>
      </c>
      <c r="E2" s="1" t="s">
        <v>21</v>
      </c>
      <c r="F2" s="1" t="s">
        <v>21</v>
      </c>
      <c r="G2" s="1"/>
      <c r="H2" s="1" t="s">
        <v>21</v>
      </c>
      <c r="I2" s="1" t="s">
        <v>21</v>
      </c>
      <c r="J2" s="1"/>
      <c r="K2" s="1" t="s">
        <v>90</v>
      </c>
      <c r="L2" s="1" t="s">
        <v>90</v>
      </c>
      <c r="M2" s="1" t="s">
        <v>90</v>
      </c>
      <c r="N2" s="1"/>
      <c r="O2" s="1" t="s">
        <v>90</v>
      </c>
      <c r="P2" s="1" t="s">
        <v>90</v>
      </c>
      <c r="Q2" s="1"/>
      <c r="R2" s="1" t="s">
        <v>90</v>
      </c>
      <c r="S2" s="1" t="s">
        <v>90</v>
      </c>
      <c r="T2" s="1"/>
      <c r="U2" s="1"/>
      <c r="V2" s="1"/>
      <c r="W2" s="1"/>
    </row>
    <row r="3" spans="1:23" x14ac:dyDescent="0.25">
      <c r="B3" s="15"/>
      <c r="C3" s="15"/>
      <c r="D3" s="15"/>
      <c r="E3" s="15"/>
      <c r="F3" s="15"/>
      <c r="G3" s="17"/>
      <c r="H3" s="15"/>
      <c r="I3" s="15"/>
      <c r="J3" s="17"/>
      <c r="K3" s="15"/>
      <c r="L3" s="15"/>
      <c r="M3" s="15"/>
      <c r="N3" s="17"/>
      <c r="O3" s="15"/>
      <c r="P3" s="15"/>
      <c r="Q3" s="17"/>
      <c r="R3" s="15"/>
      <c r="S3" s="15"/>
      <c r="T3" s="17"/>
      <c r="U3" s="17"/>
      <c r="V3" s="17"/>
      <c r="W3" s="17"/>
    </row>
    <row r="4" spans="1:23" x14ac:dyDescent="0.25">
      <c r="B4" s="15"/>
      <c r="C4" s="15"/>
      <c r="D4" s="15"/>
      <c r="E4" s="15"/>
      <c r="F4" s="15"/>
      <c r="G4" s="17"/>
      <c r="H4" s="15"/>
      <c r="I4" s="15"/>
      <c r="J4" s="17"/>
      <c r="K4" s="15"/>
      <c r="L4" s="15"/>
      <c r="M4" s="15"/>
      <c r="N4" s="17"/>
      <c r="O4" s="15"/>
      <c r="P4" s="15"/>
      <c r="Q4" s="17"/>
      <c r="R4" s="15"/>
      <c r="S4" s="15"/>
      <c r="T4" s="17"/>
      <c r="U4" s="17"/>
      <c r="V4" s="17"/>
      <c r="W4" s="17"/>
    </row>
    <row r="5" spans="1:23" x14ac:dyDescent="0.25">
      <c r="B5" s="15"/>
      <c r="C5" s="15"/>
      <c r="D5" s="15"/>
      <c r="E5" s="15"/>
      <c r="F5" s="15"/>
      <c r="G5" s="17"/>
      <c r="H5" s="15"/>
      <c r="I5" s="15"/>
      <c r="J5" s="17"/>
      <c r="K5" s="15"/>
      <c r="L5" s="15"/>
      <c r="M5" s="15"/>
      <c r="N5" s="17"/>
      <c r="O5" s="15"/>
      <c r="P5" s="15"/>
      <c r="Q5" s="17"/>
      <c r="R5" s="15"/>
      <c r="S5" s="15"/>
      <c r="T5" s="17"/>
      <c r="U5" s="17"/>
      <c r="V5" s="17"/>
      <c r="W5" s="17"/>
    </row>
    <row r="6" spans="1:23" x14ac:dyDescent="0.25">
      <c r="B6" s="15"/>
      <c r="C6" s="15"/>
      <c r="D6" s="15"/>
      <c r="E6" s="15"/>
      <c r="F6" s="15"/>
      <c r="G6" s="17"/>
      <c r="H6" s="15"/>
      <c r="I6" s="15"/>
      <c r="J6" s="17"/>
      <c r="K6" s="15"/>
      <c r="L6" s="15"/>
      <c r="M6" s="15"/>
      <c r="N6" s="17"/>
      <c r="O6" s="15"/>
      <c r="P6" s="15"/>
      <c r="Q6" s="17"/>
      <c r="R6" s="15"/>
      <c r="S6" s="15"/>
      <c r="T6" s="17"/>
      <c r="U6" s="17"/>
      <c r="V6" s="17"/>
      <c r="W6" s="17"/>
    </row>
    <row r="7" spans="1:23" x14ac:dyDescent="0.25">
      <c r="B7" s="15"/>
      <c r="C7" s="15"/>
      <c r="D7" s="15"/>
      <c r="E7" s="15"/>
      <c r="F7" s="15"/>
      <c r="G7" s="17"/>
      <c r="H7" s="15"/>
      <c r="I7" s="15"/>
      <c r="J7" s="17"/>
      <c r="K7" s="15"/>
      <c r="L7" s="15"/>
      <c r="M7" s="15"/>
      <c r="N7" s="17"/>
      <c r="O7" s="15"/>
      <c r="P7" s="15"/>
      <c r="Q7" s="17"/>
      <c r="R7" s="15"/>
      <c r="S7" s="15"/>
      <c r="T7" s="17"/>
      <c r="U7" s="17"/>
      <c r="V7" s="17"/>
      <c r="W7" s="17"/>
    </row>
    <row r="8" spans="1:23" x14ac:dyDescent="0.25">
      <c r="B8" s="15"/>
      <c r="C8" s="15"/>
      <c r="D8" s="15"/>
      <c r="E8" s="15"/>
      <c r="F8" s="15"/>
      <c r="G8" s="17"/>
      <c r="H8" s="15"/>
      <c r="I8" s="15"/>
      <c r="J8" s="17"/>
      <c r="K8" s="15"/>
      <c r="L8" s="15"/>
      <c r="M8" s="15"/>
      <c r="N8" s="17"/>
      <c r="O8" s="15"/>
      <c r="P8" s="15"/>
      <c r="Q8" s="17"/>
      <c r="R8" s="15"/>
      <c r="S8" s="15"/>
      <c r="T8" s="17"/>
      <c r="U8" s="17"/>
      <c r="V8" s="17"/>
      <c r="W8" s="17"/>
    </row>
    <row r="9" spans="1:23" x14ac:dyDescent="0.25">
      <c r="B9" s="15"/>
      <c r="C9" s="15"/>
      <c r="D9" s="15"/>
      <c r="E9" s="15"/>
      <c r="F9" s="15"/>
      <c r="G9" s="17"/>
      <c r="H9" s="15"/>
      <c r="I9" s="15"/>
      <c r="J9" s="17"/>
      <c r="K9" s="15"/>
      <c r="L9" s="15"/>
      <c r="M9" s="15"/>
      <c r="N9" s="17"/>
      <c r="O9" s="15"/>
      <c r="P9" s="15"/>
      <c r="Q9" s="17"/>
      <c r="R9" s="15"/>
      <c r="S9" s="15"/>
      <c r="T9" s="17"/>
      <c r="U9" s="17"/>
      <c r="V9" s="17"/>
      <c r="W9" s="17"/>
    </row>
    <row r="10" spans="1:23" x14ac:dyDescent="0.25">
      <c r="B10" s="15"/>
      <c r="C10" s="15"/>
      <c r="D10" s="15"/>
      <c r="E10" s="15"/>
      <c r="F10" s="15"/>
      <c r="G10" s="17"/>
      <c r="H10" s="15"/>
      <c r="I10" s="15"/>
      <c r="J10" s="17"/>
      <c r="K10" s="15"/>
      <c r="L10" s="15"/>
      <c r="M10" s="15"/>
      <c r="N10" s="17"/>
      <c r="O10" s="15"/>
      <c r="P10" s="15"/>
      <c r="Q10" s="17"/>
      <c r="R10" s="15"/>
      <c r="S10" s="15"/>
      <c r="T10" s="17"/>
      <c r="U10" s="17"/>
      <c r="V10" s="17"/>
      <c r="W10" s="17"/>
    </row>
    <row r="11" spans="1:23" x14ac:dyDescent="0.25">
      <c r="B11" s="15"/>
      <c r="C11" s="15"/>
      <c r="D11" s="15"/>
      <c r="E11" s="15"/>
      <c r="F11" s="15"/>
      <c r="G11" s="17"/>
      <c r="H11" s="15"/>
      <c r="I11" s="15"/>
      <c r="J11" s="17"/>
      <c r="K11" s="15"/>
      <c r="L11" s="15"/>
      <c r="M11" s="15"/>
      <c r="N11" s="17"/>
      <c r="O11" s="15"/>
      <c r="P11" s="15"/>
      <c r="Q11" s="17"/>
      <c r="R11" s="15"/>
      <c r="S11" s="15"/>
      <c r="T11" s="17"/>
      <c r="U11" s="17"/>
      <c r="V11" s="17"/>
      <c r="W11" s="17"/>
    </row>
    <row r="12" spans="1:23" x14ac:dyDescent="0.25">
      <c r="B12" s="15"/>
      <c r="C12" s="15"/>
      <c r="D12" s="15"/>
      <c r="E12" s="15"/>
      <c r="F12" s="15"/>
      <c r="G12" s="17"/>
      <c r="H12" s="15"/>
      <c r="I12" s="15"/>
      <c r="J12" s="17"/>
      <c r="K12" s="15"/>
      <c r="L12" s="15"/>
      <c r="M12" s="15"/>
      <c r="N12" s="17"/>
      <c r="O12" s="15"/>
      <c r="P12" s="15"/>
      <c r="Q12" s="17"/>
      <c r="R12" s="15"/>
      <c r="S12" s="15"/>
      <c r="T12" s="17"/>
      <c r="U12" s="17"/>
      <c r="V12" s="17"/>
      <c r="W12" s="17"/>
    </row>
    <row r="13" spans="1:23" x14ac:dyDescent="0.25">
      <c r="B13" s="15"/>
      <c r="C13" s="15"/>
      <c r="D13" s="15"/>
      <c r="E13" s="15"/>
      <c r="F13" s="15"/>
      <c r="G13" s="17"/>
      <c r="H13" s="15"/>
      <c r="I13" s="15"/>
      <c r="J13" s="17"/>
      <c r="K13" s="15"/>
      <c r="L13" s="15"/>
      <c r="M13" s="15"/>
      <c r="N13" s="17"/>
      <c r="O13" s="15"/>
      <c r="P13" s="15"/>
      <c r="Q13" s="17"/>
      <c r="R13" s="15"/>
      <c r="S13" s="15"/>
      <c r="T13" s="17"/>
      <c r="U13" s="17"/>
      <c r="V13" s="17"/>
      <c r="W13" s="17"/>
    </row>
    <row r="14" spans="1:23" x14ac:dyDescent="0.25">
      <c r="B14" s="15"/>
      <c r="C14" s="15"/>
      <c r="D14" s="15"/>
      <c r="E14" s="15"/>
      <c r="F14" s="15"/>
      <c r="G14" s="17"/>
      <c r="H14" s="15"/>
      <c r="I14" s="15"/>
      <c r="J14" s="17"/>
      <c r="K14" s="15"/>
      <c r="L14" s="15"/>
      <c r="M14" s="15"/>
      <c r="N14" s="17"/>
      <c r="O14" s="15"/>
      <c r="P14" s="15"/>
      <c r="Q14" s="17"/>
      <c r="R14" s="15"/>
      <c r="S14" s="15"/>
      <c r="T14" s="17"/>
      <c r="U14" s="17"/>
      <c r="V14" s="17"/>
      <c r="W14" s="17"/>
    </row>
    <row r="15" spans="1:23" x14ac:dyDescent="0.25">
      <c r="B15" s="15"/>
      <c r="C15" s="15"/>
      <c r="D15" s="15"/>
      <c r="E15" s="15"/>
      <c r="F15" s="15"/>
      <c r="G15" s="17"/>
      <c r="H15" s="15"/>
      <c r="I15" s="15"/>
      <c r="J15" s="17"/>
      <c r="K15" s="15"/>
      <c r="L15" s="15"/>
      <c r="M15" s="15"/>
      <c r="N15" s="17"/>
      <c r="O15" s="15"/>
      <c r="P15" s="15"/>
      <c r="Q15" s="17"/>
      <c r="R15" s="15"/>
      <c r="S15" s="15"/>
      <c r="T15" s="17"/>
      <c r="U15" s="17"/>
      <c r="V15" s="17"/>
      <c r="W15" s="17"/>
    </row>
    <row r="16" spans="1:23" x14ac:dyDescent="0.25">
      <c r="B16" s="15"/>
      <c r="C16" s="15"/>
      <c r="D16" s="15"/>
      <c r="E16" s="15"/>
      <c r="F16" s="15"/>
      <c r="G16" s="17"/>
      <c r="H16" s="15"/>
      <c r="I16" s="15"/>
      <c r="J16" s="17"/>
      <c r="K16" s="15"/>
      <c r="L16" s="15"/>
      <c r="M16" s="15"/>
      <c r="N16" s="17"/>
      <c r="O16" s="15"/>
      <c r="P16" s="15"/>
      <c r="Q16" s="17"/>
      <c r="R16" s="15"/>
      <c r="S16" s="15"/>
      <c r="T16" s="17"/>
      <c r="U16" s="17"/>
      <c r="V16" s="17"/>
      <c r="W16" s="17"/>
    </row>
    <row r="17" spans="2:23" x14ac:dyDescent="0.25">
      <c r="B17" s="15"/>
      <c r="C17" s="15"/>
      <c r="D17" s="15"/>
      <c r="E17" s="15"/>
      <c r="F17" s="15"/>
      <c r="G17" s="17"/>
      <c r="H17" s="15"/>
      <c r="I17" s="15"/>
      <c r="J17" s="17"/>
      <c r="K17" s="15"/>
      <c r="L17" s="15"/>
      <c r="M17" s="15"/>
      <c r="N17" s="17"/>
      <c r="O17" s="15"/>
      <c r="P17" s="15"/>
      <c r="Q17" s="17"/>
      <c r="R17" s="15"/>
      <c r="S17" s="15"/>
      <c r="T17" s="17"/>
      <c r="U17" s="17"/>
      <c r="V17" s="17"/>
      <c r="W17" s="17"/>
    </row>
    <row r="18" spans="2:23" x14ac:dyDescent="0.25">
      <c r="B18" s="15"/>
      <c r="C18" s="15"/>
      <c r="D18" s="15"/>
      <c r="E18" s="15"/>
      <c r="F18" s="15"/>
      <c r="G18" s="17"/>
      <c r="H18" s="15"/>
      <c r="I18" s="15"/>
      <c r="J18" s="17"/>
      <c r="K18" s="15"/>
      <c r="L18" s="15"/>
      <c r="M18" s="15"/>
      <c r="N18" s="17"/>
      <c r="O18" s="15"/>
      <c r="P18" s="15"/>
      <c r="Q18" s="17"/>
      <c r="R18" s="15"/>
      <c r="S18" s="15"/>
      <c r="T18" s="17"/>
      <c r="U18" s="17"/>
      <c r="V18" s="17"/>
      <c r="W18" s="17"/>
    </row>
    <row r="19" spans="2:23" x14ac:dyDescent="0.25">
      <c r="B19" s="15"/>
      <c r="C19" s="15"/>
      <c r="D19" s="15"/>
      <c r="E19" s="15"/>
      <c r="F19" s="15"/>
      <c r="G19" s="17"/>
      <c r="H19" s="15"/>
      <c r="I19" s="15"/>
      <c r="J19" s="17"/>
      <c r="K19" s="15"/>
      <c r="L19" s="15"/>
      <c r="M19" s="15"/>
      <c r="N19" s="17"/>
      <c r="O19" s="15"/>
      <c r="P19" s="15"/>
      <c r="Q19" s="17"/>
      <c r="R19" s="15"/>
      <c r="S19" s="15"/>
      <c r="T19" s="17"/>
      <c r="U19" s="17"/>
      <c r="V19" s="17"/>
      <c r="W19" s="17"/>
    </row>
    <row r="20" spans="2:23" x14ac:dyDescent="0.25">
      <c r="B20" s="15"/>
      <c r="C20" s="15"/>
      <c r="D20" s="15"/>
      <c r="E20" s="15"/>
      <c r="F20" s="15"/>
      <c r="G20" s="17"/>
      <c r="H20" s="15"/>
      <c r="I20" s="15"/>
      <c r="J20" s="17"/>
      <c r="K20" s="15"/>
      <c r="L20" s="15"/>
      <c r="M20" s="15"/>
      <c r="N20" s="17"/>
      <c r="O20" s="15"/>
      <c r="P20" s="15"/>
      <c r="Q20" s="17"/>
      <c r="R20" s="15"/>
      <c r="S20" s="15"/>
      <c r="T20" s="17"/>
      <c r="U20" s="17"/>
      <c r="V20" s="17"/>
      <c r="W20" s="17"/>
    </row>
    <row r="21" spans="2:23" x14ac:dyDescent="0.25">
      <c r="B21" s="15"/>
      <c r="C21" s="15"/>
      <c r="D21" s="15"/>
      <c r="E21" s="15"/>
      <c r="F21" s="15"/>
      <c r="G21" s="17"/>
      <c r="H21" s="15"/>
      <c r="I21" s="15"/>
      <c r="J21" s="17"/>
      <c r="K21" s="15"/>
      <c r="L21" s="15"/>
      <c r="M21" s="15"/>
      <c r="N21" s="17"/>
      <c r="O21" s="15"/>
      <c r="P21" s="15"/>
      <c r="Q21" s="17"/>
      <c r="R21" s="15"/>
      <c r="S21" s="15"/>
      <c r="T21" s="17"/>
      <c r="U21" s="17"/>
      <c r="V21" s="17"/>
      <c r="W21" s="17"/>
    </row>
    <row r="22" spans="2:23" x14ac:dyDescent="0.25">
      <c r="B22" s="15"/>
      <c r="C22" s="15"/>
      <c r="D22" s="15"/>
      <c r="E22" s="15"/>
      <c r="F22" s="15"/>
      <c r="G22" s="17"/>
      <c r="H22" s="15"/>
      <c r="I22" s="15"/>
      <c r="J22" s="17"/>
      <c r="K22" s="15"/>
      <c r="L22" s="15"/>
      <c r="M22" s="15"/>
      <c r="N22" s="17"/>
      <c r="O22" s="15"/>
      <c r="P22" s="15"/>
      <c r="Q22" s="17"/>
      <c r="R22" s="15"/>
      <c r="S22" s="15"/>
      <c r="T22" s="17"/>
      <c r="U22" s="17"/>
      <c r="V22" s="17"/>
      <c r="W22" s="17"/>
    </row>
    <row r="23" spans="2:23" x14ac:dyDescent="0.25">
      <c r="B23" s="15"/>
      <c r="C23" s="15"/>
      <c r="D23" s="15"/>
      <c r="E23" s="15"/>
      <c r="F23" s="15"/>
      <c r="G23" s="17"/>
      <c r="H23" s="15"/>
      <c r="I23" s="15"/>
      <c r="J23" s="17"/>
      <c r="K23" s="15"/>
      <c r="L23" s="15"/>
      <c r="M23" s="15"/>
      <c r="N23" s="17"/>
      <c r="O23" s="15"/>
      <c r="P23" s="15"/>
      <c r="Q23" s="17"/>
      <c r="R23" s="15"/>
      <c r="S23" s="15"/>
      <c r="T23" s="17"/>
      <c r="U23" s="17"/>
      <c r="V23" s="17"/>
      <c r="W23" s="17"/>
    </row>
    <row r="24" spans="2:23" x14ac:dyDescent="0.25">
      <c r="B24" s="15"/>
      <c r="C24" s="15"/>
      <c r="D24" s="15"/>
      <c r="E24" s="15"/>
      <c r="F24" s="15"/>
      <c r="G24" s="17"/>
      <c r="H24" s="15"/>
      <c r="I24" s="15"/>
      <c r="J24" s="17"/>
      <c r="K24" s="15"/>
      <c r="L24" s="15"/>
      <c r="M24" s="15"/>
      <c r="N24" s="17"/>
      <c r="O24" s="15"/>
      <c r="P24" s="15"/>
      <c r="Q24" s="17"/>
      <c r="R24" s="15"/>
      <c r="S24" s="15"/>
      <c r="T24" s="17"/>
      <c r="U24" s="17"/>
      <c r="V24" s="17"/>
      <c r="W24" s="17"/>
    </row>
    <row r="25" spans="2:23" x14ac:dyDescent="0.25">
      <c r="B25" s="15"/>
      <c r="C25" s="15"/>
      <c r="D25" s="15"/>
      <c r="E25" s="15"/>
      <c r="F25" s="15"/>
      <c r="G25" s="17"/>
      <c r="H25" s="15"/>
      <c r="I25" s="15"/>
      <c r="J25" s="17"/>
      <c r="K25" s="15"/>
      <c r="L25" s="15"/>
      <c r="M25" s="15"/>
      <c r="N25" s="17"/>
      <c r="O25" s="15"/>
      <c r="P25" s="15"/>
      <c r="Q25" s="17"/>
      <c r="R25" s="15"/>
      <c r="S25" s="15"/>
      <c r="T25" s="17"/>
      <c r="U25" s="17"/>
      <c r="V25" s="17"/>
      <c r="W25" s="17"/>
    </row>
    <row r="26" spans="2:23" x14ac:dyDescent="0.25">
      <c r="B26" s="15"/>
      <c r="C26" s="15"/>
      <c r="D26" s="15"/>
      <c r="E26" s="15"/>
      <c r="F26" s="15"/>
      <c r="G26" s="17"/>
      <c r="H26" s="15"/>
      <c r="I26" s="15"/>
      <c r="J26" s="17"/>
      <c r="K26" s="15"/>
      <c r="L26" s="15"/>
      <c r="M26" s="15"/>
      <c r="N26" s="17"/>
      <c r="O26" s="15"/>
      <c r="P26" s="15"/>
      <c r="Q26" s="17"/>
      <c r="R26" s="15"/>
      <c r="S26" s="15"/>
      <c r="T26" s="17"/>
      <c r="U26" s="17"/>
      <c r="V26" s="17"/>
      <c r="W26" s="17"/>
    </row>
    <row r="27" spans="2:23" x14ac:dyDescent="0.25">
      <c r="B27" s="15"/>
      <c r="C27" s="15"/>
      <c r="D27" s="15"/>
      <c r="E27" s="15"/>
      <c r="F27" s="15"/>
      <c r="G27" s="17"/>
      <c r="H27" s="15"/>
      <c r="I27" s="15"/>
      <c r="J27" s="17"/>
      <c r="K27" s="15"/>
      <c r="L27" s="15"/>
      <c r="M27" s="15"/>
      <c r="N27" s="17"/>
      <c r="O27" s="15"/>
      <c r="P27" s="15"/>
      <c r="Q27" s="17"/>
      <c r="R27" s="15"/>
      <c r="S27" s="15"/>
      <c r="T27" s="17"/>
      <c r="U27" s="17"/>
      <c r="V27" s="17"/>
      <c r="W27" s="17"/>
    </row>
    <row r="28" spans="2:23" x14ac:dyDescent="0.25">
      <c r="B28" s="15"/>
      <c r="C28" s="15"/>
      <c r="D28" s="15"/>
      <c r="E28" s="15"/>
      <c r="F28" s="15"/>
      <c r="G28" s="17"/>
      <c r="H28" s="15"/>
      <c r="I28" s="15"/>
      <c r="J28" s="17"/>
      <c r="K28" s="15"/>
      <c r="L28" s="15"/>
      <c r="M28" s="15"/>
      <c r="N28" s="17"/>
      <c r="O28" s="15"/>
      <c r="P28" s="15"/>
      <c r="Q28" s="17"/>
      <c r="R28" s="15"/>
      <c r="S28" s="15"/>
      <c r="T28" s="17"/>
      <c r="U28" s="17"/>
      <c r="V28" s="17"/>
      <c r="W28" s="17"/>
    </row>
    <row r="29" spans="2:23" x14ac:dyDescent="0.25">
      <c r="B29" s="15"/>
      <c r="C29" s="15"/>
      <c r="D29" s="15"/>
      <c r="E29" s="15"/>
      <c r="F29" s="15"/>
      <c r="G29" s="17"/>
      <c r="H29" s="15"/>
      <c r="I29" s="15"/>
      <c r="J29" s="17"/>
      <c r="K29" s="15"/>
      <c r="L29" s="15"/>
      <c r="M29" s="15"/>
      <c r="N29" s="17"/>
      <c r="O29" s="15"/>
      <c r="P29" s="15"/>
      <c r="Q29" s="17"/>
      <c r="R29" s="15"/>
      <c r="S29" s="15"/>
      <c r="T29" s="17"/>
      <c r="U29" s="17"/>
      <c r="V29" s="17"/>
      <c r="W29" s="17"/>
    </row>
    <row r="30" spans="2:23" x14ac:dyDescent="0.25">
      <c r="B30" s="15"/>
      <c r="C30" s="15"/>
      <c r="D30" s="15"/>
      <c r="E30" s="15"/>
      <c r="F30" s="15"/>
      <c r="G30" s="17"/>
      <c r="H30" s="15"/>
      <c r="I30" s="15"/>
      <c r="J30" s="17"/>
      <c r="K30" s="15"/>
      <c r="L30" s="15"/>
      <c r="M30" s="15"/>
      <c r="N30" s="17"/>
      <c r="O30" s="15"/>
      <c r="P30" s="15"/>
      <c r="Q30" s="17"/>
      <c r="R30" s="15"/>
      <c r="S30" s="15"/>
      <c r="T30" s="17"/>
      <c r="U30" s="17"/>
      <c r="V30" s="17"/>
      <c r="W30" s="17"/>
    </row>
    <row r="31" spans="2:23" x14ac:dyDescent="0.25">
      <c r="B31" s="15"/>
      <c r="C31" s="15"/>
      <c r="D31" s="15"/>
      <c r="E31" s="15"/>
      <c r="F31" s="15"/>
      <c r="G31" s="17"/>
      <c r="H31" s="15"/>
      <c r="I31" s="15"/>
      <c r="J31" s="17"/>
      <c r="K31" s="15"/>
      <c r="L31" s="15"/>
      <c r="M31" s="15"/>
      <c r="N31" s="17"/>
      <c r="O31" s="15"/>
      <c r="P31" s="15"/>
      <c r="Q31" s="17"/>
      <c r="R31" s="15"/>
      <c r="S31" s="15"/>
      <c r="T31" s="17"/>
      <c r="U31" s="17"/>
      <c r="V31" s="17"/>
      <c r="W31" s="17"/>
    </row>
    <row r="32" spans="2:23" x14ac:dyDescent="0.25">
      <c r="B32" s="15"/>
      <c r="C32" s="15"/>
      <c r="D32" s="15"/>
      <c r="E32" s="15"/>
      <c r="F32" s="15"/>
      <c r="G32" s="17"/>
      <c r="H32" s="15"/>
      <c r="I32" s="15"/>
      <c r="J32" s="17"/>
      <c r="K32" s="15"/>
      <c r="L32" s="15"/>
      <c r="M32" s="15"/>
      <c r="N32" s="17"/>
      <c r="O32" s="15"/>
      <c r="P32" s="15"/>
      <c r="Q32" s="17"/>
      <c r="R32" s="15"/>
      <c r="S32" s="15"/>
      <c r="T32" s="17"/>
      <c r="U32" s="17"/>
      <c r="V32" s="17"/>
      <c r="W32" s="17"/>
    </row>
    <row r="33" spans="2:23" x14ac:dyDescent="0.25">
      <c r="B33" s="15"/>
      <c r="C33" s="15"/>
      <c r="D33" s="15"/>
      <c r="E33" s="15"/>
      <c r="F33" s="15"/>
      <c r="G33" s="17"/>
      <c r="H33" s="15"/>
      <c r="I33" s="15"/>
      <c r="J33" s="17"/>
      <c r="K33" s="15"/>
      <c r="L33" s="15"/>
      <c r="M33" s="15"/>
      <c r="N33" s="17"/>
      <c r="O33" s="15"/>
      <c r="P33" s="15"/>
      <c r="Q33" s="17"/>
      <c r="R33" s="15"/>
      <c r="S33" s="15"/>
      <c r="T33" s="17"/>
      <c r="U33" s="17"/>
      <c r="V33" s="17"/>
      <c r="W33" s="17"/>
    </row>
    <row r="34" spans="2:23" x14ac:dyDescent="0.25">
      <c r="B34" s="15"/>
      <c r="C34" s="15"/>
      <c r="D34" s="15"/>
      <c r="E34" s="15"/>
      <c r="F34" s="15"/>
      <c r="G34" s="17"/>
      <c r="H34" s="15"/>
      <c r="I34" s="15"/>
      <c r="J34" s="17"/>
      <c r="K34" s="15"/>
      <c r="L34" s="15"/>
      <c r="M34" s="15"/>
      <c r="N34" s="17"/>
      <c r="O34" s="15"/>
      <c r="P34" s="15"/>
      <c r="Q34" s="17"/>
      <c r="R34" s="15"/>
      <c r="S34" s="15"/>
      <c r="T34" s="17"/>
      <c r="U34" s="17"/>
      <c r="V34" s="17"/>
      <c r="W34" s="17"/>
    </row>
    <row r="35" spans="2:23" x14ac:dyDescent="0.25">
      <c r="B35" s="15"/>
      <c r="C35" s="15"/>
      <c r="D35" s="15"/>
      <c r="E35" s="15"/>
      <c r="F35" s="15"/>
      <c r="G35" s="17"/>
      <c r="H35" s="15"/>
      <c r="I35" s="15"/>
      <c r="J35" s="17"/>
      <c r="K35" s="15"/>
      <c r="L35" s="15"/>
      <c r="M35" s="15"/>
      <c r="N35" s="17"/>
      <c r="O35" s="15"/>
      <c r="P35" s="15"/>
      <c r="Q35" s="17"/>
      <c r="R35" s="15"/>
      <c r="S35" s="15"/>
      <c r="T35" s="17"/>
      <c r="U35" s="17"/>
      <c r="V35" s="17"/>
      <c r="W35" s="17"/>
    </row>
    <row r="36" spans="2:23" x14ac:dyDescent="0.25">
      <c r="B36" s="15"/>
      <c r="C36" s="15"/>
      <c r="D36" s="15"/>
      <c r="E36" s="15"/>
      <c r="F36" s="15"/>
      <c r="H36" s="15"/>
      <c r="I36" s="15"/>
      <c r="K36" s="15"/>
      <c r="L36" s="15"/>
      <c r="M36" s="15"/>
      <c r="O36" s="15"/>
      <c r="P36" s="15"/>
      <c r="R36" s="15"/>
      <c r="S36" s="15"/>
      <c r="W36" s="17"/>
    </row>
    <row r="37" spans="2:23" x14ac:dyDescent="0.25">
      <c r="B37" s="15"/>
      <c r="C37" s="15"/>
      <c r="D37" s="15"/>
      <c r="E37" s="15"/>
      <c r="F37" s="15"/>
      <c r="H37" s="15"/>
      <c r="I37" s="15"/>
      <c r="K37" s="15"/>
      <c r="L37" s="15"/>
      <c r="M37" s="15"/>
      <c r="O37" s="15"/>
      <c r="P37" s="15"/>
      <c r="R37" s="15"/>
      <c r="S37" s="15"/>
      <c r="W37" s="17"/>
    </row>
    <row r="38" spans="2:23" x14ac:dyDescent="0.25">
      <c r="B38" s="15"/>
      <c r="C38" s="15"/>
      <c r="D38" s="15"/>
      <c r="E38" s="15"/>
      <c r="F38" s="15"/>
      <c r="H38" s="15"/>
      <c r="I38" s="15"/>
      <c r="K38" s="15"/>
      <c r="L38" s="15"/>
      <c r="M38" s="15"/>
      <c r="O38" s="15"/>
      <c r="P38" s="15"/>
      <c r="R38" s="15"/>
      <c r="S38" s="15"/>
      <c r="W38" s="17"/>
    </row>
    <row r="39" spans="2:23" x14ac:dyDescent="0.25">
      <c r="B39" s="15"/>
      <c r="C39" s="15"/>
      <c r="D39" s="15"/>
      <c r="E39" s="15"/>
      <c r="F39" s="15"/>
      <c r="H39" s="15"/>
      <c r="I39" s="15"/>
      <c r="K39" s="15"/>
      <c r="L39" s="15"/>
      <c r="M39" s="15"/>
      <c r="O39" s="15"/>
      <c r="P39" s="15"/>
      <c r="R39" s="15"/>
      <c r="S39" s="15"/>
      <c r="W39" s="17"/>
    </row>
    <row r="40" spans="2:23" x14ac:dyDescent="0.25">
      <c r="B40" s="15"/>
      <c r="C40" s="15"/>
      <c r="D40" s="15"/>
      <c r="E40" s="15"/>
      <c r="F40" s="15"/>
      <c r="H40" s="15"/>
      <c r="I40" s="15"/>
      <c r="K40" s="15"/>
      <c r="L40" s="15"/>
      <c r="M40" s="15"/>
      <c r="O40" s="15"/>
      <c r="P40" s="15"/>
      <c r="R40" s="15"/>
      <c r="S40" s="15"/>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6"/>
  <dimension ref="A1:BA5"/>
  <sheetViews>
    <sheetView workbookViewId="0">
      <selection activeCell="A9" sqref="A9"/>
    </sheetView>
  </sheetViews>
  <sheetFormatPr defaultRowHeight="15" x14ac:dyDescent="0.25"/>
  <cols>
    <col min="1" max="1" width="15.42578125" customWidth="1"/>
    <col min="2" max="2" width="12.28515625" bestFit="1" customWidth="1"/>
    <col min="3" max="15" width="8.85546875" style="20"/>
    <col min="16" max="16" width="9.7109375" style="20" bestFit="1" customWidth="1"/>
    <col min="17" max="26" width="9.7109375" style="20" customWidth="1"/>
    <col min="27" max="27" width="12.28515625" style="20" customWidth="1"/>
    <col min="28" max="29" width="11" style="20" customWidth="1"/>
    <col min="30" max="31" width="8.85546875" style="20"/>
    <col min="32" max="32" width="9.85546875" style="20" customWidth="1"/>
    <col min="33" max="33" width="11.42578125" style="20" customWidth="1"/>
    <col min="34" max="34" width="12.85546875" style="20" customWidth="1"/>
    <col min="35" max="45" width="11.42578125" style="20" customWidth="1"/>
    <col min="46" max="46" width="13.28515625" style="20" customWidth="1"/>
    <col min="47" max="50" width="11.42578125" style="20" customWidth="1"/>
    <col min="51" max="51" width="13.140625" style="20" customWidth="1"/>
    <col min="52" max="52" width="14" style="20" customWidth="1"/>
    <col min="53" max="53" width="12.42578125" style="20" customWidth="1"/>
  </cols>
  <sheetData>
    <row r="1" spans="1:53" x14ac:dyDescent="0.25">
      <c r="A1" s="2" t="s">
        <v>53</v>
      </c>
      <c r="B1" s="2" t="s">
        <v>1149</v>
      </c>
      <c r="C1" s="18" t="s">
        <v>1150</v>
      </c>
      <c r="D1" s="18" t="s">
        <v>647</v>
      </c>
      <c r="E1" s="18" t="s">
        <v>1151</v>
      </c>
      <c r="F1" s="18" t="s">
        <v>68</v>
      </c>
      <c r="G1" s="18" t="s">
        <v>1152</v>
      </c>
      <c r="H1" s="18" t="s">
        <v>1153</v>
      </c>
      <c r="I1" s="18" t="s">
        <v>1154</v>
      </c>
      <c r="J1" s="18" t="s">
        <v>1155</v>
      </c>
      <c r="K1" s="18" t="s">
        <v>651</v>
      </c>
      <c r="L1" s="18" t="s">
        <v>949</v>
      </c>
      <c r="M1" s="18" t="s">
        <v>1156</v>
      </c>
      <c r="N1" s="18" t="s">
        <v>1157</v>
      </c>
      <c r="O1" s="18" t="s">
        <v>1158</v>
      </c>
      <c r="P1" s="18" t="s">
        <v>1159</v>
      </c>
      <c r="Q1" s="18" t="s">
        <v>1160</v>
      </c>
      <c r="R1" s="18" t="s">
        <v>894</v>
      </c>
      <c r="S1" s="18" t="s">
        <v>1161</v>
      </c>
      <c r="T1" s="18" t="s">
        <v>1162</v>
      </c>
      <c r="U1" s="18" t="s">
        <v>1163</v>
      </c>
      <c r="V1" s="18" t="s">
        <v>1164</v>
      </c>
      <c r="W1" s="18" t="s">
        <v>1023</v>
      </c>
      <c r="X1" s="18" t="s">
        <v>1165</v>
      </c>
      <c r="Y1" s="18" t="s">
        <v>1166</v>
      </c>
      <c r="Z1" s="18" t="s">
        <v>1167</v>
      </c>
      <c r="AA1" s="18" t="s">
        <v>919</v>
      </c>
      <c r="AB1" s="18" t="s">
        <v>1168</v>
      </c>
      <c r="AC1" s="18" t="s">
        <v>1169</v>
      </c>
      <c r="AD1" s="18" t="s">
        <v>1170</v>
      </c>
      <c r="AE1" s="18" t="s">
        <v>1171</v>
      </c>
      <c r="AF1" s="18" t="s">
        <v>1172</v>
      </c>
      <c r="AG1" s="18" t="s">
        <v>1173</v>
      </c>
      <c r="AH1" s="18" t="s">
        <v>1174</v>
      </c>
      <c r="AI1" s="18" t="s">
        <v>1175</v>
      </c>
      <c r="AJ1" s="18" t="s">
        <v>69</v>
      </c>
      <c r="AK1" s="18" t="s">
        <v>501</v>
      </c>
      <c r="AL1" s="18" t="s">
        <v>1176</v>
      </c>
      <c r="AM1" s="18" t="s">
        <v>1177</v>
      </c>
      <c r="AN1" s="18" t="s">
        <v>1178</v>
      </c>
      <c r="AO1" s="18" t="s">
        <v>1179</v>
      </c>
      <c r="AP1" s="18" t="s">
        <v>1180</v>
      </c>
      <c r="AQ1" s="18" t="s">
        <v>1181</v>
      </c>
      <c r="AR1" s="18" t="s">
        <v>1182</v>
      </c>
      <c r="AS1" s="18" t="s">
        <v>1183</v>
      </c>
      <c r="AT1" s="18" t="s">
        <v>1184</v>
      </c>
      <c r="AU1" s="18" t="s">
        <v>1185</v>
      </c>
      <c r="AV1" s="18" t="s">
        <v>1186</v>
      </c>
      <c r="AW1" s="18" t="s">
        <v>1187</v>
      </c>
      <c r="AX1" s="18" t="s">
        <v>1188</v>
      </c>
      <c r="AY1" s="18" t="s">
        <v>1189</v>
      </c>
      <c r="AZ1" s="18" t="s">
        <v>1190</v>
      </c>
      <c r="BA1" s="18" t="s">
        <v>1191</v>
      </c>
    </row>
    <row r="2" spans="1:53" x14ac:dyDescent="0.25">
      <c r="A2" s="2"/>
      <c r="B2" s="2"/>
      <c r="C2" s="18" t="s">
        <v>0</v>
      </c>
      <c r="D2" s="18" t="s">
        <v>0</v>
      </c>
      <c r="E2" s="18" t="s">
        <v>0</v>
      </c>
      <c r="F2" s="18" t="s">
        <v>0</v>
      </c>
      <c r="G2" s="18" t="s">
        <v>0</v>
      </c>
      <c r="H2" s="18" t="s">
        <v>0</v>
      </c>
      <c r="I2" s="18" t="s">
        <v>0</v>
      </c>
      <c r="J2" s="18" t="s">
        <v>0</v>
      </c>
      <c r="K2" s="18"/>
      <c r="L2" s="18" t="s">
        <v>0</v>
      </c>
      <c r="M2" s="18" t="s">
        <v>138</v>
      </c>
      <c r="N2" s="18" t="s">
        <v>0</v>
      </c>
      <c r="O2" s="18" t="s">
        <v>1192</v>
      </c>
      <c r="P2" s="18" t="s">
        <v>310</v>
      </c>
      <c r="Q2" s="18" t="s">
        <v>0</v>
      </c>
      <c r="R2" s="18" t="s">
        <v>0</v>
      </c>
      <c r="S2" s="18" t="s">
        <v>595</v>
      </c>
      <c r="T2" s="18" t="s">
        <v>595</v>
      </c>
      <c r="U2" s="18" t="s">
        <v>595</v>
      </c>
      <c r="V2" s="18" t="s">
        <v>595</v>
      </c>
      <c r="W2" s="18" t="s">
        <v>1069</v>
      </c>
      <c r="X2" s="18"/>
      <c r="Y2" s="18"/>
      <c r="Z2" s="18"/>
      <c r="AA2" s="18"/>
      <c r="AB2" s="18"/>
      <c r="AC2" s="18"/>
      <c r="AD2" s="18" t="s">
        <v>0</v>
      </c>
      <c r="AE2" s="18"/>
      <c r="AF2" s="18"/>
      <c r="AG2" s="18"/>
      <c r="AH2" s="18"/>
      <c r="AI2" s="18" t="s">
        <v>308</v>
      </c>
      <c r="AJ2" s="18"/>
      <c r="AK2" s="18" t="s">
        <v>0</v>
      </c>
      <c r="AL2" s="18" t="s">
        <v>0</v>
      </c>
      <c r="AM2" s="18"/>
      <c r="AN2" s="18" t="s">
        <v>0</v>
      </c>
      <c r="AO2" s="18" t="s">
        <v>0</v>
      </c>
      <c r="AP2" s="18"/>
      <c r="AQ2" s="18"/>
      <c r="AR2" s="18"/>
      <c r="AS2" s="18"/>
      <c r="AT2" s="18"/>
      <c r="AU2" s="18" t="s">
        <v>91</v>
      </c>
      <c r="AV2" s="18"/>
      <c r="AW2" s="18"/>
      <c r="AX2" s="18"/>
      <c r="AY2" s="18"/>
      <c r="AZ2" s="18"/>
      <c r="BA2" s="18"/>
    </row>
    <row r="3" spans="1:53" x14ac:dyDescent="0.25">
      <c r="A3" t="s">
        <v>92</v>
      </c>
      <c r="B3" t="s">
        <v>1193</v>
      </c>
      <c r="C3" s="20">
        <v>1200</v>
      </c>
      <c r="D3" s="20">
        <v>1197</v>
      </c>
      <c r="E3" s="20">
        <v>1168</v>
      </c>
      <c r="F3" s="20">
        <v>200</v>
      </c>
      <c r="G3" s="20">
        <v>28</v>
      </c>
      <c r="H3" s="20">
        <v>28</v>
      </c>
      <c r="I3" s="20">
        <v>35</v>
      </c>
      <c r="J3" s="20">
        <v>38</v>
      </c>
      <c r="K3" s="20">
        <v>9</v>
      </c>
      <c r="L3" s="20">
        <v>90</v>
      </c>
      <c r="M3" s="20">
        <v>146610</v>
      </c>
      <c r="N3" s="20">
        <v>102</v>
      </c>
      <c r="O3" s="20">
        <v>6575578</v>
      </c>
      <c r="P3" s="20">
        <v>672726664</v>
      </c>
      <c r="Q3" s="20">
        <v>8750</v>
      </c>
      <c r="R3" s="20">
        <v>100</v>
      </c>
      <c r="S3" s="20">
        <v>3</v>
      </c>
      <c r="T3" s="20">
        <v>1</v>
      </c>
      <c r="U3" s="20">
        <v>0.5</v>
      </c>
      <c r="V3" s="20">
        <v>0</v>
      </c>
      <c r="W3" s="20">
        <v>25</v>
      </c>
      <c r="X3" s="20">
        <v>1.35</v>
      </c>
      <c r="Y3" s="20">
        <v>1.5</v>
      </c>
      <c r="Z3" s="20">
        <v>0.3</v>
      </c>
      <c r="AA3" s="20" t="s">
        <v>155</v>
      </c>
      <c r="AB3" s="20" t="s">
        <v>651</v>
      </c>
      <c r="AC3" s="20" t="s">
        <v>1194</v>
      </c>
      <c r="AD3" s="20">
        <v>20</v>
      </c>
      <c r="AE3" s="20">
        <v>2.2222222222222223E-2</v>
      </c>
      <c r="AF3" s="20">
        <v>2</v>
      </c>
      <c r="AG3" s="20" t="s">
        <v>1195</v>
      </c>
      <c r="AH3" s="20" t="s">
        <v>1133</v>
      </c>
      <c r="AI3" s="20">
        <v>200</v>
      </c>
      <c r="AJ3" s="20">
        <v>10</v>
      </c>
      <c r="AK3" s="20">
        <v>11</v>
      </c>
      <c r="AL3" s="20">
        <v>30</v>
      </c>
      <c r="AM3" s="20">
        <v>0</v>
      </c>
      <c r="AN3" s="20">
        <v>11</v>
      </c>
      <c r="AO3" s="20">
        <v>30</v>
      </c>
      <c r="AP3" s="20">
        <v>3.5</v>
      </c>
      <c r="AQ3" s="20" t="s">
        <v>1196</v>
      </c>
      <c r="AR3" s="20" t="s">
        <v>1197</v>
      </c>
      <c r="AS3" s="20" t="s">
        <v>1198</v>
      </c>
      <c r="AT3" s="20">
        <v>0</v>
      </c>
      <c r="AU3" s="20">
        <v>28.720538451618225</v>
      </c>
      <c r="AV3" s="20">
        <v>1</v>
      </c>
      <c r="AW3" s="20">
        <v>70</v>
      </c>
      <c r="AX3" s="20">
        <v>50</v>
      </c>
      <c r="AY3" s="20">
        <v>200</v>
      </c>
      <c r="AZ3" s="20">
        <v>300</v>
      </c>
      <c r="BA3" s="20">
        <v>500</v>
      </c>
    </row>
    <row r="4" spans="1:53" x14ac:dyDescent="0.25">
      <c r="A4" t="s">
        <v>92</v>
      </c>
      <c r="B4" t="s">
        <v>1193</v>
      </c>
      <c r="C4" s="20">
        <v>1200</v>
      </c>
      <c r="D4" s="20">
        <v>1197</v>
      </c>
      <c r="E4" s="20">
        <v>1168</v>
      </c>
      <c r="F4" s="20">
        <v>203</v>
      </c>
      <c r="G4" s="20">
        <v>28</v>
      </c>
      <c r="H4" s="20">
        <v>28</v>
      </c>
      <c r="I4" s="20">
        <v>38</v>
      </c>
      <c r="J4" s="20">
        <v>39</v>
      </c>
      <c r="K4" s="20">
        <v>6</v>
      </c>
      <c r="L4" s="20">
        <v>147</v>
      </c>
      <c r="M4" s="20">
        <v>135030</v>
      </c>
      <c r="N4" s="20">
        <v>102</v>
      </c>
      <c r="O4" s="20">
        <v>4310000</v>
      </c>
      <c r="P4" s="20">
        <v>678450000</v>
      </c>
      <c r="Q4" s="20">
        <v>7575</v>
      </c>
      <c r="R4" s="20">
        <v>100</v>
      </c>
      <c r="S4" s="20">
        <v>4</v>
      </c>
      <c r="T4" s="20">
        <v>1</v>
      </c>
      <c r="U4" s="20">
        <v>0.5</v>
      </c>
      <c r="V4" s="20">
        <v>0</v>
      </c>
      <c r="W4" s="20">
        <v>25</v>
      </c>
      <c r="X4" s="20">
        <v>1.35</v>
      </c>
      <c r="Y4" s="20">
        <v>1.5</v>
      </c>
      <c r="Z4" s="20">
        <v>0.3</v>
      </c>
      <c r="AA4" s="20" t="s">
        <v>155</v>
      </c>
      <c r="AB4" s="20" t="s">
        <v>651</v>
      </c>
      <c r="AC4" s="20" t="s">
        <v>1194</v>
      </c>
      <c r="AD4" s="20">
        <v>20</v>
      </c>
      <c r="AE4" s="20">
        <v>2.2222222222222223E-2</v>
      </c>
      <c r="AF4" s="20">
        <v>2</v>
      </c>
      <c r="AG4" s="20" t="s">
        <v>1195</v>
      </c>
      <c r="AH4" s="20" t="s">
        <v>1133</v>
      </c>
      <c r="AI4" s="20">
        <v>200</v>
      </c>
      <c r="AJ4" s="20">
        <v>4</v>
      </c>
      <c r="AK4" s="20">
        <v>9.3000000000000007</v>
      </c>
      <c r="AL4" s="20">
        <v>40</v>
      </c>
      <c r="AM4" s="20">
        <v>3</v>
      </c>
      <c r="AN4" s="20">
        <v>12.5</v>
      </c>
      <c r="AO4" s="20">
        <v>40</v>
      </c>
      <c r="AP4" s="20">
        <v>3.5</v>
      </c>
      <c r="AQ4" s="20" t="s">
        <v>1196</v>
      </c>
      <c r="AR4" s="20" t="s">
        <v>1197</v>
      </c>
      <c r="AS4" s="20" t="s">
        <v>1198</v>
      </c>
      <c r="AT4" s="20">
        <v>0</v>
      </c>
      <c r="AU4" s="20">
        <v>28.720538451618225</v>
      </c>
      <c r="AV4" s="20">
        <v>2</v>
      </c>
      <c r="AW4" s="20">
        <v>70</v>
      </c>
      <c r="AX4" s="20">
        <v>50</v>
      </c>
      <c r="AY4" s="20">
        <v>200</v>
      </c>
      <c r="AZ4" s="20">
        <v>300</v>
      </c>
      <c r="BA4" s="20">
        <v>500</v>
      </c>
    </row>
    <row r="5" spans="1:53" x14ac:dyDescent="0.25">
      <c r="A5" t="s">
        <v>92</v>
      </c>
      <c r="B5" t="s">
        <v>1193</v>
      </c>
      <c r="C5" s="20">
        <v>1200</v>
      </c>
      <c r="D5" s="20">
        <v>1197</v>
      </c>
      <c r="E5" s="20">
        <v>1168</v>
      </c>
      <c r="F5" s="20">
        <v>200</v>
      </c>
      <c r="G5" s="20">
        <v>28</v>
      </c>
      <c r="H5" s="20">
        <v>28</v>
      </c>
      <c r="I5" s="20">
        <v>35</v>
      </c>
      <c r="J5" s="20">
        <v>38</v>
      </c>
      <c r="K5" s="20">
        <v>9</v>
      </c>
      <c r="L5" s="20">
        <v>90</v>
      </c>
      <c r="M5" s="20">
        <v>146610</v>
      </c>
      <c r="N5" s="20">
        <v>102</v>
      </c>
      <c r="O5" s="20">
        <v>6575578</v>
      </c>
      <c r="P5" s="20">
        <v>672726664</v>
      </c>
      <c r="Q5" s="20">
        <v>8000</v>
      </c>
      <c r="R5" s="20">
        <v>100</v>
      </c>
      <c r="S5" s="20">
        <v>4</v>
      </c>
      <c r="T5" s="20">
        <v>1</v>
      </c>
      <c r="U5" s="20">
        <v>0.5</v>
      </c>
      <c r="V5" s="20">
        <v>0</v>
      </c>
      <c r="W5" s="20">
        <v>25</v>
      </c>
      <c r="X5" s="20">
        <v>1.35</v>
      </c>
      <c r="Y5" s="20">
        <v>1.5</v>
      </c>
      <c r="Z5" s="20">
        <v>0.3</v>
      </c>
      <c r="AA5" s="20" t="s">
        <v>155</v>
      </c>
      <c r="AB5" s="20" t="s">
        <v>651</v>
      </c>
      <c r="AC5" s="20" t="s">
        <v>1199</v>
      </c>
      <c r="AD5" s="20">
        <v>20</v>
      </c>
      <c r="AE5" s="20">
        <v>2.2222222222222223E-2</v>
      </c>
      <c r="AF5" s="20">
        <v>2</v>
      </c>
      <c r="AG5" s="20" t="s">
        <v>1200</v>
      </c>
      <c r="AH5" s="20" t="s">
        <v>1133</v>
      </c>
      <c r="AI5" s="20">
        <v>200</v>
      </c>
      <c r="AJ5" s="20">
        <v>10</v>
      </c>
      <c r="AK5" s="20">
        <v>9.6</v>
      </c>
      <c r="AL5" s="20">
        <v>30</v>
      </c>
      <c r="AM5" s="20">
        <v>0</v>
      </c>
      <c r="AN5" s="20">
        <v>8</v>
      </c>
      <c r="AO5" s="20">
        <v>30</v>
      </c>
      <c r="AP5" s="20">
        <v>2</v>
      </c>
      <c r="AQ5" s="20" t="s">
        <v>1196</v>
      </c>
      <c r="AR5" s="20" t="s">
        <v>1201</v>
      </c>
      <c r="AS5" s="20" t="s">
        <v>1197</v>
      </c>
      <c r="AT5" s="20">
        <v>1</v>
      </c>
      <c r="AU5" s="20">
        <v>35</v>
      </c>
      <c r="AV5" s="20">
        <v>2</v>
      </c>
      <c r="AW5" s="20">
        <v>70</v>
      </c>
      <c r="AX5" s="20">
        <v>50</v>
      </c>
      <c r="AY5" s="20">
        <v>200</v>
      </c>
      <c r="AZ5" s="20">
        <v>300</v>
      </c>
      <c r="BA5" s="20">
        <v>500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7"/>
  <dimension ref="A1:AL2"/>
  <sheetViews>
    <sheetView workbookViewId="0">
      <selection activeCell="A3" sqref="A3:XFD5"/>
    </sheetView>
  </sheetViews>
  <sheetFormatPr defaultRowHeight="15" x14ac:dyDescent="0.25"/>
  <cols>
    <col min="1" max="2" width="12.85546875" style="20" customWidth="1"/>
    <col min="3" max="14" width="8.85546875" style="20"/>
    <col min="15" max="15" width="11.5703125" style="20" customWidth="1"/>
    <col min="16" max="29" width="8.85546875" style="20"/>
    <col min="30" max="30" width="10.85546875" style="20" customWidth="1"/>
    <col min="31" max="32" width="8.85546875" style="20"/>
    <col min="33" max="33" width="10.42578125" style="20" customWidth="1"/>
    <col min="34" max="35" width="8.85546875" style="20"/>
    <col min="36" max="36" width="11.85546875" style="20" customWidth="1"/>
    <col min="37" max="38" width="8.85546875" style="20"/>
  </cols>
  <sheetData>
    <row r="1" spans="1:38" x14ac:dyDescent="0.25">
      <c r="A1" s="23" t="s">
        <v>1202</v>
      </c>
      <c r="B1" s="23" t="s">
        <v>1203</v>
      </c>
      <c r="C1" s="23" t="s">
        <v>1204</v>
      </c>
      <c r="D1" s="23" t="s">
        <v>1205</v>
      </c>
      <c r="E1" s="23" t="s">
        <v>1206</v>
      </c>
      <c r="F1" s="23" t="s">
        <v>1207</v>
      </c>
      <c r="G1" s="23" t="s">
        <v>1208</v>
      </c>
      <c r="H1" s="23" t="s">
        <v>1209</v>
      </c>
      <c r="I1" s="23" t="s">
        <v>1210</v>
      </c>
      <c r="J1" s="23" t="s">
        <v>1211</v>
      </c>
      <c r="K1" s="23" t="s">
        <v>1212</v>
      </c>
      <c r="L1" s="23" t="s">
        <v>1213</v>
      </c>
      <c r="M1" s="23" t="s">
        <v>1214</v>
      </c>
      <c r="N1" s="23" t="s">
        <v>1215</v>
      </c>
      <c r="O1" s="23" t="s">
        <v>1216</v>
      </c>
      <c r="P1" s="23" t="s">
        <v>1217</v>
      </c>
      <c r="Q1" s="23" t="s">
        <v>1218</v>
      </c>
      <c r="R1" s="23" t="s">
        <v>1219</v>
      </c>
      <c r="S1" s="23" t="s">
        <v>1220</v>
      </c>
      <c r="T1" s="23" t="s">
        <v>1221</v>
      </c>
      <c r="U1" s="23" t="s">
        <v>1222</v>
      </c>
      <c r="V1" s="23" t="s">
        <v>1223</v>
      </c>
      <c r="W1" s="23" t="s">
        <v>1224</v>
      </c>
      <c r="X1" s="23" t="s">
        <v>1225</v>
      </c>
      <c r="Y1" s="23" t="s">
        <v>1226</v>
      </c>
      <c r="Z1" s="23" t="s">
        <v>1227</v>
      </c>
      <c r="AA1" s="23" t="s">
        <v>1228</v>
      </c>
      <c r="AB1" s="23" t="s">
        <v>1229</v>
      </c>
      <c r="AC1" s="23" t="s">
        <v>1230</v>
      </c>
      <c r="AD1" s="23" t="s">
        <v>1231</v>
      </c>
      <c r="AE1" s="23" t="s">
        <v>1232</v>
      </c>
      <c r="AF1" s="23" t="s">
        <v>1233</v>
      </c>
      <c r="AG1" s="23" t="s">
        <v>1234</v>
      </c>
      <c r="AH1" s="23" t="s">
        <v>1235</v>
      </c>
      <c r="AI1" s="23" t="s">
        <v>1236</v>
      </c>
      <c r="AJ1" s="23" t="s">
        <v>1237</v>
      </c>
      <c r="AK1" s="23" t="s">
        <v>1238</v>
      </c>
      <c r="AL1" s="23" t="s">
        <v>913</v>
      </c>
    </row>
    <row r="2" spans="1:38" x14ac:dyDescent="0.25">
      <c r="A2" s="23" t="s">
        <v>90</v>
      </c>
      <c r="B2" s="23" t="s">
        <v>90</v>
      </c>
      <c r="C2" s="23" t="s">
        <v>90</v>
      </c>
      <c r="D2" s="23"/>
      <c r="E2" s="23" t="s">
        <v>90</v>
      </c>
      <c r="F2" s="23" t="s">
        <v>90</v>
      </c>
      <c r="G2" s="23"/>
      <c r="H2" s="23" t="s">
        <v>21</v>
      </c>
      <c r="I2" s="23" t="s">
        <v>21</v>
      </c>
      <c r="J2" s="23"/>
      <c r="K2" s="23" t="s">
        <v>21</v>
      </c>
      <c r="L2" s="23" t="s">
        <v>21</v>
      </c>
      <c r="M2" s="23"/>
      <c r="N2" s="23" t="s">
        <v>91</v>
      </c>
      <c r="O2" s="23" t="s">
        <v>91</v>
      </c>
      <c r="P2" s="23"/>
      <c r="Q2" s="23" t="s">
        <v>91</v>
      </c>
      <c r="R2" s="23" t="s">
        <v>91</v>
      </c>
      <c r="S2" s="23"/>
      <c r="T2" s="23" t="s">
        <v>91</v>
      </c>
      <c r="U2" s="23" t="s">
        <v>91</v>
      </c>
      <c r="V2" s="23"/>
      <c r="W2" s="23" t="s">
        <v>91</v>
      </c>
      <c r="X2" s="23" t="s">
        <v>91</v>
      </c>
      <c r="Y2" s="23"/>
      <c r="Z2" s="23" t="s">
        <v>91</v>
      </c>
      <c r="AA2" s="23" t="s">
        <v>91</v>
      </c>
      <c r="AB2" s="23"/>
      <c r="AC2" s="23" t="s">
        <v>0</v>
      </c>
      <c r="AD2" s="23" t="s">
        <v>0</v>
      </c>
      <c r="AE2" s="23"/>
      <c r="AF2" s="23" t="s">
        <v>0</v>
      </c>
      <c r="AG2" s="23" t="s">
        <v>0</v>
      </c>
      <c r="AH2" s="23"/>
      <c r="AI2" s="23" t="s">
        <v>0</v>
      </c>
      <c r="AJ2" s="23" t="s">
        <v>0</v>
      </c>
      <c r="AK2" s="23"/>
      <c r="AL2" s="2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4"/>
  <dimension ref="A1:P11"/>
  <sheetViews>
    <sheetView workbookViewId="0">
      <selection activeCell="C45" sqref="C45"/>
    </sheetView>
  </sheetViews>
  <sheetFormatPr defaultRowHeight="15" x14ac:dyDescent="0.25"/>
  <cols>
    <col min="1" max="1" width="16.85546875" customWidth="1"/>
    <col min="2" max="2" width="17.7109375" customWidth="1"/>
    <col min="3" max="3" width="17.85546875" customWidth="1"/>
    <col min="4" max="4" width="17.140625" customWidth="1"/>
    <col min="5" max="5" width="10" customWidth="1"/>
    <col min="6" max="6" width="9.7109375" customWidth="1"/>
    <col min="7" max="7" width="19.140625" customWidth="1"/>
    <col min="8" max="8" width="14.7109375" customWidth="1"/>
    <col min="9" max="9" width="11.140625" customWidth="1"/>
    <col min="10" max="10" width="23.28515625" customWidth="1"/>
    <col min="11" max="11" width="17.42578125" customWidth="1"/>
    <col min="12" max="16" width="21.85546875" customWidth="1"/>
  </cols>
  <sheetData>
    <row r="1" spans="1:16" x14ac:dyDescent="0.25">
      <c r="A1" s="62" t="s">
        <v>1117</v>
      </c>
      <c r="B1" s="50" t="s">
        <v>1118</v>
      </c>
      <c r="C1" s="58" t="s">
        <v>1119</v>
      </c>
      <c r="D1" s="49" t="s">
        <v>1120</v>
      </c>
      <c r="E1" s="49" t="s">
        <v>1121</v>
      </c>
      <c r="F1" s="50" t="s">
        <v>920</v>
      </c>
      <c r="G1" s="53" t="s">
        <v>1122</v>
      </c>
      <c r="H1" s="53" t="s">
        <v>1123</v>
      </c>
      <c r="I1" s="53" t="s">
        <v>1124</v>
      </c>
      <c r="J1" s="53" t="s">
        <v>1125</v>
      </c>
      <c r="K1" s="48" t="s">
        <v>1126</v>
      </c>
      <c r="L1" s="59" t="s">
        <v>1127</v>
      </c>
      <c r="M1" s="59" t="s">
        <v>1128</v>
      </c>
      <c r="N1" s="59" t="s">
        <v>1129</v>
      </c>
      <c r="O1" s="59" t="s">
        <v>1130</v>
      </c>
      <c r="P1" s="59" t="s">
        <v>1131</v>
      </c>
    </row>
    <row r="2" spans="1:16" x14ac:dyDescent="0.25">
      <c r="A2" s="61"/>
      <c r="B2" s="63"/>
      <c r="C2" s="61"/>
      <c r="D2" s="62"/>
      <c r="E2" s="62" t="s">
        <v>91</v>
      </c>
      <c r="F2" s="63" t="s">
        <v>91</v>
      </c>
      <c r="G2" s="62" t="s">
        <v>0</v>
      </c>
      <c r="H2" s="62" t="s">
        <v>0</v>
      </c>
      <c r="I2" s="62" t="s">
        <v>0</v>
      </c>
      <c r="J2" s="62" t="s">
        <v>0</v>
      </c>
      <c r="K2" s="61"/>
      <c r="L2" s="62"/>
      <c r="M2" s="62"/>
      <c r="N2" s="62"/>
      <c r="O2" s="62"/>
      <c r="P2" s="63"/>
    </row>
    <row r="3" spans="1:16" x14ac:dyDescent="0.25">
      <c r="A3" s="283" t="s">
        <v>1132</v>
      </c>
      <c r="B3" s="284"/>
      <c r="C3" s="285">
        <v>0</v>
      </c>
      <c r="D3" s="153" t="s">
        <v>689</v>
      </c>
      <c r="E3" s="70"/>
      <c r="F3" s="71">
        <v>500</v>
      </c>
      <c r="G3" s="70">
        <v>25</v>
      </c>
      <c r="H3" s="70">
        <v>60</v>
      </c>
      <c r="I3" s="70">
        <v>45</v>
      </c>
      <c r="J3" s="70">
        <v>750</v>
      </c>
      <c r="K3" s="176" t="s">
        <v>1133</v>
      </c>
      <c r="L3" s="70">
        <v>1</v>
      </c>
      <c r="M3" s="70">
        <v>1</v>
      </c>
      <c r="N3" s="70">
        <v>1</v>
      </c>
      <c r="O3" s="70">
        <v>1</v>
      </c>
      <c r="P3" s="71">
        <v>1</v>
      </c>
    </row>
    <row r="4" spans="1:16" x14ac:dyDescent="0.25">
      <c r="A4" s="283" t="s">
        <v>1134</v>
      </c>
      <c r="B4" s="284"/>
      <c r="C4" s="285">
        <v>0</v>
      </c>
      <c r="D4" s="153" t="s">
        <v>689</v>
      </c>
      <c r="E4" s="70"/>
      <c r="F4" s="71">
        <v>500</v>
      </c>
      <c r="G4" s="70">
        <v>20</v>
      </c>
      <c r="H4" s="70">
        <v>50</v>
      </c>
      <c r="I4" s="70">
        <v>50</v>
      </c>
      <c r="J4" s="70">
        <v>900</v>
      </c>
      <c r="K4" s="176" t="s">
        <v>1135</v>
      </c>
      <c r="L4" s="70">
        <v>1</v>
      </c>
      <c r="M4" s="70">
        <v>1</v>
      </c>
      <c r="N4" s="70">
        <v>1</v>
      </c>
      <c r="O4" s="70">
        <v>1</v>
      </c>
      <c r="P4" s="71">
        <v>1</v>
      </c>
    </row>
    <row r="5" spans="1:16" x14ac:dyDescent="0.25">
      <c r="A5" s="283" t="s">
        <v>1136</v>
      </c>
      <c r="B5" s="284"/>
      <c r="C5" s="285">
        <v>0</v>
      </c>
      <c r="D5" s="153" t="s">
        <v>689</v>
      </c>
      <c r="E5" s="70"/>
      <c r="F5" s="71">
        <v>500</v>
      </c>
      <c r="G5" s="70">
        <v>25</v>
      </c>
      <c r="H5" s="70">
        <v>65</v>
      </c>
      <c r="I5" s="70">
        <v>60</v>
      </c>
      <c r="J5" s="70">
        <v>800</v>
      </c>
      <c r="K5" s="176" t="s">
        <v>1133</v>
      </c>
      <c r="L5" s="70">
        <v>0.7</v>
      </c>
      <c r="M5" s="70">
        <v>0.8</v>
      </c>
      <c r="N5" s="70">
        <v>1</v>
      </c>
      <c r="O5" s="70">
        <v>1</v>
      </c>
      <c r="P5" s="71">
        <v>1</v>
      </c>
    </row>
    <row r="6" spans="1:16" x14ac:dyDescent="0.25">
      <c r="A6" s="283" t="s">
        <v>1132</v>
      </c>
      <c r="B6" s="284"/>
      <c r="C6" s="285">
        <v>0</v>
      </c>
      <c r="D6" s="153" t="s">
        <v>1137</v>
      </c>
      <c r="E6" s="70"/>
      <c r="F6" s="71">
        <v>500</v>
      </c>
      <c r="G6" s="70">
        <v>25</v>
      </c>
      <c r="H6" s="70">
        <v>60</v>
      </c>
      <c r="I6" s="70">
        <v>45</v>
      </c>
      <c r="J6" s="70">
        <v>750</v>
      </c>
      <c r="K6" s="176" t="s">
        <v>1133</v>
      </c>
      <c r="L6" s="70">
        <v>1</v>
      </c>
      <c r="M6" s="70">
        <v>1</v>
      </c>
      <c r="N6" s="70">
        <v>1</v>
      </c>
      <c r="O6" s="70">
        <v>1</v>
      </c>
      <c r="P6" s="71">
        <v>1</v>
      </c>
    </row>
    <row r="7" spans="1:16" x14ac:dyDescent="0.25">
      <c r="A7" s="283"/>
      <c r="B7" s="284"/>
      <c r="C7" s="285"/>
      <c r="D7" s="153"/>
      <c r="E7" s="86"/>
      <c r="F7" s="162"/>
      <c r="G7" s="86"/>
      <c r="H7" s="86"/>
      <c r="I7" s="86"/>
      <c r="J7" s="86"/>
      <c r="K7" s="286"/>
      <c r="L7" s="86"/>
      <c r="M7" s="86"/>
      <c r="N7" s="86"/>
      <c r="O7" s="86"/>
      <c r="P7" s="162"/>
    </row>
    <row r="8" spans="1:16" x14ac:dyDescent="0.25">
      <c r="A8" s="283"/>
      <c r="B8" s="284"/>
      <c r="C8" s="285"/>
      <c r="D8" s="153"/>
      <c r="E8" s="86"/>
      <c r="F8" s="162"/>
      <c r="G8" s="86"/>
      <c r="H8" s="86"/>
      <c r="I8" s="86"/>
      <c r="J8" s="86"/>
      <c r="K8" s="286"/>
      <c r="L8" s="86"/>
      <c r="M8" s="86"/>
      <c r="N8" s="86"/>
      <c r="O8" s="86"/>
      <c r="P8" s="162"/>
    </row>
    <row r="9" spans="1:16" x14ac:dyDescent="0.25">
      <c r="A9" s="283"/>
      <c r="B9" s="284"/>
      <c r="C9" s="285"/>
      <c r="D9" s="153"/>
      <c r="E9" s="86"/>
      <c r="F9" s="162"/>
      <c r="G9" s="86"/>
      <c r="H9" s="86"/>
      <c r="I9" s="86"/>
      <c r="J9" s="86"/>
      <c r="K9" s="286"/>
      <c r="L9" s="86"/>
      <c r="M9" s="86"/>
      <c r="N9" s="86"/>
      <c r="O9" s="86"/>
      <c r="P9" s="162"/>
    </row>
    <row r="10" spans="1:16" x14ac:dyDescent="0.25">
      <c r="A10" s="283"/>
      <c r="B10" s="284"/>
      <c r="C10" s="287"/>
      <c r="D10" s="180"/>
      <c r="E10" s="86"/>
      <c r="F10" s="162"/>
      <c r="G10" s="157"/>
      <c r="H10" s="157"/>
      <c r="I10" s="157"/>
      <c r="J10" s="157"/>
      <c r="K10" s="288"/>
      <c r="L10" s="289"/>
      <c r="M10" s="289"/>
      <c r="N10" s="289"/>
      <c r="O10" s="289"/>
      <c r="P10" s="290"/>
    </row>
    <row r="11" spans="1:16" x14ac:dyDescent="0.25">
      <c r="A11" s="167" t="s">
        <v>1138</v>
      </c>
      <c r="B11" s="99"/>
      <c r="C11" s="167" t="s">
        <v>694</v>
      </c>
      <c r="D11" s="280"/>
      <c r="E11" s="98"/>
      <c r="F11" s="281"/>
      <c r="G11" s="103" t="s">
        <v>1139</v>
      </c>
      <c r="H11" s="102"/>
      <c r="I11" s="102"/>
      <c r="J11" s="100"/>
      <c r="K11" s="291" t="s">
        <v>1140</v>
      </c>
      <c r="L11" s="292"/>
      <c r="M11" s="292"/>
      <c r="N11" s="292"/>
      <c r="O11" s="292"/>
      <c r="P11" s="293"/>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5"/>
  <dimension ref="A1:I17"/>
  <sheetViews>
    <sheetView workbookViewId="0">
      <selection activeCell="C15" sqref="C15"/>
    </sheetView>
  </sheetViews>
  <sheetFormatPr defaultRowHeight="15" x14ac:dyDescent="0.25"/>
  <cols>
    <col min="1" max="1" width="15.85546875" customWidth="1"/>
    <col min="2" max="2" width="11.42578125" customWidth="1"/>
    <col min="4" max="4" width="12" customWidth="1"/>
    <col min="5" max="5" width="64" customWidth="1"/>
  </cols>
  <sheetData>
    <row r="1" spans="1:9" x14ac:dyDescent="0.25">
      <c r="A1" s="116" t="s">
        <v>1141</v>
      </c>
      <c r="B1" s="48" t="s">
        <v>1142</v>
      </c>
      <c r="C1" s="49" t="s">
        <v>1143</v>
      </c>
      <c r="D1" s="49" t="s">
        <v>1144</v>
      </c>
      <c r="E1" s="60" t="s">
        <v>1145</v>
      </c>
      <c r="F1" s="184"/>
      <c r="G1" s="184"/>
      <c r="H1" s="184"/>
      <c r="I1" s="184"/>
    </row>
    <row r="2" spans="1:9" x14ac:dyDescent="0.25">
      <c r="A2" s="68" t="s">
        <v>91</v>
      </c>
      <c r="B2" s="61" t="s">
        <v>0</v>
      </c>
      <c r="C2" s="62" t="s">
        <v>0</v>
      </c>
      <c r="D2" s="62"/>
      <c r="E2" s="63"/>
      <c r="F2" s="184"/>
      <c r="G2" s="184"/>
      <c r="H2" s="184"/>
      <c r="I2" s="184"/>
    </row>
    <row r="3" spans="1:9" x14ac:dyDescent="0.25">
      <c r="A3" s="294"/>
      <c r="B3" s="118"/>
      <c r="C3" s="120"/>
      <c r="D3" s="122"/>
      <c r="E3" s="295"/>
      <c r="F3" s="184"/>
      <c r="G3" s="184"/>
      <c r="H3" s="184"/>
      <c r="I3" s="184"/>
    </row>
    <row r="4" spans="1:9" x14ac:dyDescent="0.25">
      <c r="A4" s="294"/>
      <c r="B4" s="118"/>
      <c r="C4" s="120"/>
      <c r="D4" s="122"/>
      <c r="E4" s="295"/>
      <c r="F4" s="184"/>
      <c r="G4" s="184"/>
      <c r="H4" s="184"/>
      <c r="I4" s="184"/>
    </row>
    <row r="5" spans="1:9" x14ac:dyDescent="0.25">
      <c r="A5" s="294"/>
      <c r="B5" s="118"/>
      <c r="C5" s="120"/>
      <c r="D5" s="122"/>
      <c r="E5" s="295"/>
      <c r="F5" s="184"/>
      <c r="G5" s="184"/>
      <c r="H5" s="184"/>
      <c r="I5" s="184"/>
    </row>
    <row r="6" spans="1:9" x14ac:dyDescent="0.25">
      <c r="A6" s="294"/>
      <c r="B6" s="118"/>
      <c r="C6" s="120"/>
      <c r="D6" s="122"/>
      <c r="E6" s="295"/>
      <c r="F6" s="184"/>
      <c r="G6" s="184"/>
      <c r="H6" s="184"/>
      <c r="I6" s="184"/>
    </row>
    <row r="7" spans="1:9" x14ac:dyDescent="0.25">
      <c r="A7" s="296"/>
      <c r="B7" s="127"/>
      <c r="C7" s="129"/>
      <c r="D7" s="131"/>
      <c r="E7" s="297"/>
      <c r="F7" s="184"/>
      <c r="G7" s="184"/>
      <c r="H7" s="184"/>
      <c r="I7" s="184"/>
    </row>
    <row r="8" spans="1:9" x14ac:dyDescent="0.25">
      <c r="A8" s="296"/>
      <c r="B8" s="127"/>
      <c r="C8" s="129"/>
      <c r="D8" s="131"/>
      <c r="E8" s="297"/>
      <c r="F8" s="184"/>
      <c r="G8" s="184"/>
      <c r="H8" s="184"/>
      <c r="I8" s="184"/>
    </row>
    <row r="9" spans="1:9" x14ac:dyDescent="0.25">
      <c r="A9" s="296"/>
      <c r="B9" s="127"/>
      <c r="C9" s="129"/>
      <c r="D9" s="131"/>
      <c r="E9" s="297"/>
      <c r="F9" s="184"/>
      <c r="G9" s="184"/>
      <c r="H9" s="184"/>
      <c r="I9" s="184"/>
    </row>
    <row r="10" spans="1:9" x14ac:dyDescent="0.25">
      <c r="A10" s="298"/>
      <c r="B10" s="127"/>
      <c r="C10" s="129"/>
      <c r="D10" s="131"/>
      <c r="E10" s="297"/>
      <c r="F10" s="184"/>
      <c r="G10" s="184"/>
      <c r="H10" s="184"/>
      <c r="I10" s="184"/>
    </row>
    <row r="11" spans="1:9" x14ac:dyDescent="0.25">
      <c r="A11" s="299" t="s">
        <v>1146</v>
      </c>
      <c r="B11" s="151" t="s">
        <v>1147</v>
      </c>
      <c r="C11" s="175"/>
      <c r="D11" s="150"/>
      <c r="E11" s="148"/>
      <c r="F11" s="184"/>
      <c r="G11" s="184"/>
      <c r="H11" s="184"/>
      <c r="I11" s="184"/>
    </row>
    <row r="12" spans="1:9" x14ac:dyDescent="0.25">
      <c r="B12" s="184"/>
      <c r="C12" s="184"/>
      <c r="D12" s="184"/>
      <c r="E12" s="184"/>
      <c r="F12" s="184"/>
      <c r="G12" s="184"/>
      <c r="H12" s="184"/>
      <c r="I12" s="184"/>
    </row>
    <row r="13" spans="1:9" x14ac:dyDescent="0.25">
      <c r="B13" s="184"/>
      <c r="C13" s="184"/>
      <c r="D13" s="184"/>
      <c r="E13" s="184"/>
      <c r="F13" s="184"/>
      <c r="G13" s="184"/>
      <c r="H13" s="184"/>
      <c r="I13" s="184"/>
    </row>
    <row r="14" spans="1:9" x14ac:dyDescent="0.25">
      <c r="B14" s="184"/>
      <c r="C14" s="184"/>
      <c r="D14" s="184"/>
      <c r="E14" s="184"/>
      <c r="F14" s="184"/>
      <c r="G14" s="184"/>
      <c r="H14" s="184"/>
      <c r="I14" s="184"/>
    </row>
    <row r="15" spans="1:9" x14ac:dyDescent="0.25">
      <c r="B15" s="184"/>
      <c r="C15" s="184"/>
      <c r="D15" s="184"/>
      <c r="E15" s="184"/>
      <c r="F15" s="184"/>
      <c r="G15" s="184"/>
      <c r="H15" s="184"/>
      <c r="I15" s="184"/>
    </row>
    <row r="16" spans="1:9" x14ac:dyDescent="0.25">
      <c r="B16" s="184"/>
      <c r="C16" s="184"/>
      <c r="D16" s="184"/>
      <c r="E16" s="184"/>
      <c r="F16" s="184"/>
      <c r="G16" s="184"/>
      <c r="H16" s="184"/>
      <c r="I16" s="184"/>
    </row>
    <row r="17" spans="6:8" x14ac:dyDescent="0.25">
      <c r="F17" s="184"/>
      <c r="G17" s="184"/>
      <c r="H17" s="184"/>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dimension ref="A1:AI22"/>
  <sheetViews>
    <sheetView workbookViewId="0">
      <selection activeCell="C15" sqref="C15"/>
    </sheetView>
  </sheetViews>
  <sheetFormatPr defaultRowHeight="15" x14ac:dyDescent="0.25"/>
  <cols>
    <col min="1" max="1" width="17.28515625" bestFit="1" customWidth="1"/>
    <col min="2" max="2" width="17.42578125" bestFit="1" customWidth="1"/>
    <col min="3" max="3" width="13.5703125" style="11" customWidth="1"/>
    <col min="4" max="4" width="15.140625" customWidth="1"/>
    <col min="5" max="5" width="17.42578125" bestFit="1" customWidth="1"/>
    <col min="6" max="6" width="8.140625" bestFit="1" customWidth="1"/>
    <col min="7" max="7" width="9" customWidth="1"/>
    <col min="8" max="8" width="8.5703125" bestFit="1" customWidth="1"/>
    <col min="9" max="9" width="8.42578125" bestFit="1" customWidth="1"/>
    <col min="10" max="10" width="10.7109375" bestFit="1" customWidth="1"/>
    <col min="11" max="11" width="16.140625" bestFit="1" customWidth="1"/>
    <col min="12" max="12" width="15.5703125" bestFit="1" customWidth="1"/>
    <col min="13" max="13" width="20.85546875" style="10" bestFit="1" customWidth="1"/>
    <col min="14" max="14" width="11.42578125" bestFit="1" customWidth="1"/>
    <col min="15" max="15" width="6.42578125" bestFit="1" customWidth="1"/>
    <col min="16" max="16" width="11.42578125" bestFit="1" customWidth="1"/>
    <col min="17" max="18" width="8.28515625" bestFit="1" customWidth="1"/>
    <col min="19" max="19" width="8.140625" bestFit="1" customWidth="1"/>
    <col min="20" max="21" width="8.28515625" bestFit="1" customWidth="1"/>
    <col min="22" max="23" width="16.42578125" bestFit="1" customWidth="1"/>
    <col min="24" max="25" width="20.7109375" bestFit="1" customWidth="1"/>
    <col min="26" max="27" width="16.140625" bestFit="1" customWidth="1"/>
    <col min="28" max="28" width="10" style="11" bestFit="1" customWidth="1"/>
    <col min="29" max="29" width="10" bestFit="1" customWidth="1"/>
    <col min="30" max="30" width="15" customWidth="1"/>
    <col min="31" max="31" width="15" bestFit="1" customWidth="1"/>
    <col min="32" max="32" width="10" style="11" bestFit="1" customWidth="1"/>
    <col min="33" max="33" width="10" bestFit="1" customWidth="1"/>
    <col min="34" max="34" width="8.28515625" bestFit="1" customWidth="1"/>
  </cols>
  <sheetData>
    <row r="1" spans="1:35" x14ac:dyDescent="0.25">
      <c r="A1" s="18" t="s">
        <v>53</v>
      </c>
      <c r="B1" s="18" t="s">
        <v>54</v>
      </c>
      <c r="C1" s="19" t="s">
        <v>438</v>
      </c>
      <c r="D1" s="18" t="s">
        <v>230</v>
      </c>
      <c r="E1" s="18" t="s">
        <v>63</v>
      </c>
      <c r="F1" s="18" t="s">
        <v>439</v>
      </c>
      <c r="G1" s="18" t="s">
        <v>249</v>
      </c>
      <c r="H1" s="18" t="s">
        <v>440</v>
      </c>
      <c r="I1" s="18" t="s">
        <v>442</v>
      </c>
      <c r="J1" s="18" t="s">
        <v>496</v>
      </c>
      <c r="K1" s="18" t="s">
        <v>445</v>
      </c>
      <c r="L1" s="18" t="s">
        <v>446</v>
      </c>
      <c r="M1" s="278" t="s">
        <v>1105</v>
      </c>
      <c r="N1" s="18" t="s">
        <v>497</v>
      </c>
      <c r="O1" s="18" t="s">
        <v>66</v>
      </c>
      <c r="P1" s="18" t="s">
        <v>498</v>
      </c>
      <c r="Q1" s="18" t="s">
        <v>447</v>
      </c>
      <c r="R1" s="18" t="s">
        <v>499</v>
      </c>
      <c r="S1" s="18" t="s">
        <v>500</v>
      </c>
      <c r="T1" s="18" t="s">
        <v>501</v>
      </c>
      <c r="U1" s="18" t="s">
        <v>502</v>
      </c>
      <c r="V1" s="18" t="s">
        <v>503</v>
      </c>
      <c r="W1" s="18" t="s">
        <v>504</v>
      </c>
      <c r="X1" s="18" t="s">
        <v>489</v>
      </c>
      <c r="Y1" s="18" t="s">
        <v>490</v>
      </c>
      <c r="Z1" s="18" t="s">
        <v>449</v>
      </c>
      <c r="AA1" s="18" t="s">
        <v>71</v>
      </c>
      <c r="AB1" s="18" t="s">
        <v>87</v>
      </c>
      <c r="AC1" s="19" t="s">
        <v>255</v>
      </c>
      <c r="AD1" s="18" t="s">
        <v>450</v>
      </c>
      <c r="AE1" s="18" t="s">
        <v>76</v>
      </c>
      <c r="AF1" s="18" t="s">
        <v>74</v>
      </c>
      <c r="AG1" s="19" t="s">
        <v>75</v>
      </c>
      <c r="AH1" s="18" t="s">
        <v>451</v>
      </c>
      <c r="AI1" s="18" t="s">
        <v>83</v>
      </c>
    </row>
    <row r="2" spans="1:35" x14ac:dyDescent="0.25">
      <c r="A2" s="18" t="s">
        <v>89</v>
      </c>
      <c r="B2" s="18"/>
      <c r="C2" s="19"/>
      <c r="D2" s="18" t="s">
        <v>89</v>
      </c>
      <c r="E2" s="18" t="s">
        <v>89</v>
      </c>
      <c r="F2" s="18"/>
      <c r="G2" s="18" t="s">
        <v>452</v>
      </c>
      <c r="H2" s="18" t="s">
        <v>453</v>
      </c>
      <c r="I2" s="18" t="s">
        <v>453</v>
      </c>
      <c r="J2" s="18" t="s">
        <v>453</v>
      </c>
      <c r="K2" s="18"/>
      <c r="L2" s="18"/>
      <c r="M2" s="278"/>
      <c r="N2" s="18" t="s">
        <v>179</v>
      </c>
      <c r="O2" s="18" t="s">
        <v>179</v>
      </c>
      <c r="P2" s="18" t="s">
        <v>179</v>
      </c>
      <c r="Q2" s="18" t="s">
        <v>179</v>
      </c>
      <c r="R2" s="18" t="s">
        <v>179</v>
      </c>
      <c r="S2" s="18" t="s">
        <v>179</v>
      </c>
      <c r="T2" s="18" t="s">
        <v>179</v>
      </c>
      <c r="U2" s="18" t="s">
        <v>331</v>
      </c>
      <c r="V2" s="18" t="s">
        <v>179</v>
      </c>
      <c r="W2" s="18"/>
      <c r="X2" s="18"/>
      <c r="Y2" s="18"/>
      <c r="Z2" s="18"/>
      <c r="AA2" s="18"/>
      <c r="AB2" s="18" t="s">
        <v>40</v>
      </c>
      <c r="AC2" s="19"/>
      <c r="AD2" s="18"/>
      <c r="AE2" s="18"/>
      <c r="AF2" s="18" t="s">
        <v>40</v>
      </c>
      <c r="AG2" s="19"/>
      <c r="AH2" s="18"/>
      <c r="AI2" s="18" t="s">
        <v>179</v>
      </c>
    </row>
    <row r="3" spans="1:35" x14ac:dyDescent="0.25">
      <c r="A3" s="20" t="s">
        <v>92</v>
      </c>
      <c r="B3" s="20" t="s">
        <v>505</v>
      </c>
      <c r="C3" s="21" t="s">
        <v>454</v>
      </c>
      <c r="D3" s="20" t="s">
        <v>237</v>
      </c>
      <c r="E3" s="20" t="s">
        <v>456</v>
      </c>
      <c r="F3" s="20">
        <v>0.7</v>
      </c>
      <c r="G3" s="20">
        <v>7500</v>
      </c>
      <c r="H3" s="20">
        <v>0</v>
      </c>
      <c r="I3" s="20">
        <v>0</v>
      </c>
      <c r="J3" s="20">
        <v>12000</v>
      </c>
      <c r="K3" s="20" t="s">
        <v>506</v>
      </c>
      <c r="L3" s="20" t="s">
        <v>507</v>
      </c>
      <c r="M3" s="279" t="s">
        <v>1106</v>
      </c>
      <c r="N3" s="20">
        <v>2</v>
      </c>
      <c r="O3" s="20">
        <v>1.5</v>
      </c>
      <c r="P3" s="20">
        <v>10</v>
      </c>
      <c r="Q3" s="20">
        <v>9.25</v>
      </c>
      <c r="R3" s="20">
        <v>0.5</v>
      </c>
      <c r="S3" s="20">
        <v>8.5</v>
      </c>
      <c r="T3" s="20">
        <v>0.5</v>
      </c>
      <c r="U3" s="20">
        <v>36</v>
      </c>
      <c r="V3" s="20">
        <v>2.5</v>
      </c>
      <c r="W3" s="20" t="s">
        <v>508</v>
      </c>
      <c r="X3" s="20">
        <v>0</v>
      </c>
      <c r="Y3" s="20" t="s">
        <v>495</v>
      </c>
      <c r="Z3" s="20" t="s">
        <v>460</v>
      </c>
      <c r="AA3" s="20">
        <v>1</v>
      </c>
      <c r="AB3" s="20">
        <v>10</v>
      </c>
      <c r="AC3" s="21">
        <v>1.63</v>
      </c>
      <c r="AD3" s="20">
        <v>1</v>
      </c>
      <c r="AE3" s="20">
        <v>0</v>
      </c>
      <c r="AF3" s="20">
        <v>6</v>
      </c>
      <c r="AG3" s="21">
        <v>1.63</v>
      </c>
      <c r="AH3" s="20">
        <v>1</v>
      </c>
      <c r="AI3" s="20">
        <v>4</v>
      </c>
    </row>
    <row r="4" spans="1:35" x14ac:dyDescent="0.25">
      <c r="A4" s="20" t="s">
        <v>92</v>
      </c>
      <c r="B4" s="20" t="s">
        <v>505</v>
      </c>
      <c r="C4" s="21" t="s">
        <v>454</v>
      </c>
      <c r="D4" s="20" t="s">
        <v>455</v>
      </c>
      <c r="E4" s="20" t="s">
        <v>515</v>
      </c>
      <c r="F4" s="20">
        <v>0.8</v>
      </c>
      <c r="G4" s="20">
        <v>0</v>
      </c>
      <c r="H4" s="20">
        <v>7500</v>
      </c>
      <c r="I4" s="20">
        <v>7500</v>
      </c>
      <c r="J4" s="20">
        <v>8500</v>
      </c>
      <c r="K4" s="20" t="s">
        <v>521</v>
      </c>
      <c r="L4" s="20" t="s">
        <v>507</v>
      </c>
      <c r="M4" s="279" t="s">
        <v>1106</v>
      </c>
      <c r="N4" s="20">
        <v>3</v>
      </c>
      <c r="O4" s="20">
        <v>2.5</v>
      </c>
      <c r="P4" s="20">
        <v>8</v>
      </c>
      <c r="Q4" s="20">
        <v>7.25</v>
      </c>
      <c r="R4" s="20">
        <v>0.5</v>
      </c>
      <c r="S4" s="20">
        <v>7.5</v>
      </c>
      <c r="T4" s="20">
        <v>0.5</v>
      </c>
      <c r="U4" s="20">
        <v>36</v>
      </c>
      <c r="V4" s="20">
        <v>2.5</v>
      </c>
      <c r="W4" s="20" t="s">
        <v>508</v>
      </c>
      <c r="X4" s="20">
        <v>0</v>
      </c>
      <c r="Y4" s="20" t="s">
        <v>495</v>
      </c>
      <c r="Z4" s="20" t="s">
        <v>460</v>
      </c>
      <c r="AA4" s="20">
        <v>1</v>
      </c>
      <c r="AB4" s="20">
        <v>12</v>
      </c>
      <c r="AC4" s="21">
        <v>1.63</v>
      </c>
      <c r="AD4" s="20">
        <v>1</v>
      </c>
      <c r="AE4" s="20">
        <v>0</v>
      </c>
      <c r="AF4" s="20">
        <v>6</v>
      </c>
      <c r="AG4" s="21">
        <v>1.63</v>
      </c>
      <c r="AH4" s="20">
        <v>1</v>
      </c>
      <c r="AI4" s="20">
        <v>4</v>
      </c>
    </row>
    <row r="5" spans="1:35" x14ac:dyDescent="0.25">
      <c r="A5" s="20" t="s">
        <v>92</v>
      </c>
      <c r="B5" s="20" t="s">
        <v>505</v>
      </c>
      <c r="C5" s="21" t="s">
        <v>454</v>
      </c>
      <c r="D5" s="20" t="s">
        <v>237</v>
      </c>
      <c r="E5" s="20" t="s">
        <v>516</v>
      </c>
      <c r="F5" s="20">
        <v>0.7</v>
      </c>
      <c r="G5" s="20">
        <v>5000</v>
      </c>
      <c r="H5" s="20">
        <v>5000</v>
      </c>
      <c r="I5" s="20">
        <v>5000</v>
      </c>
      <c r="J5" s="20">
        <v>18000</v>
      </c>
      <c r="K5" s="20" t="s">
        <v>523</v>
      </c>
      <c r="L5" s="20" t="s">
        <v>507</v>
      </c>
      <c r="M5" s="279" t="s">
        <v>1106</v>
      </c>
      <c r="N5" s="20">
        <v>2</v>
      </c>
      <c r="O5" s="20">
        <v>1.5</v>
      </c>
      <c r="P5" s="20">
        <v>10</v>
      </c>
      <c r="Q5" s="20">
        <v>9.25</v>
      </c>
      <c r="R5" s="20">
        <v>0.625</v>
      </c>
      <c r="S5" s="20">
        <v>9</v>
      </c>
      <c r="T5" s="20">
        <v>0.5</v>
      </c>
      <c r="U5" s="20">
        <v>36</v>
      </c>
      <c r="V5" s="20">
        <v>2.5</v>
      </c>
      <c r="W5" s="20" t="s">
        <v>508</v>
      </c>
      <c r="X5" s="20">
        <v>0</v>
      </c>
      <c r="Y5" s="20" t="s">
        <v>495</v>
      </c>
      <c r="Z5" s="20" t="s">
        <v>460</v>
      </c>
      <c r="AA5" s="20">
        <v>1</v>
      </c>
      <c r="AB5" s="20">
        <v>15</v>
      </c>
      <c r="AC5" s="21">
        <v>1.63</v>
      </c>
      <c r="AD5" s="20">
        <v>1</v>
      </c>
      <c r="AE5" s="20">
        <v>0</v>
      </c>
      <c r="AF5" s="20">
        <v>12</v>
      </c>
      <c r="AG5" s="21">
        <v>1.63</v>
      </c>
      <c r="AH5" s="20">
        <v>1</v>
      </c>
      <c r="AI5" s="20">
        <v>4</v>
      </c>
    </row>
    <row r="6" spans="1:35" x14ac:dyDescent="0.25">
      <c r="A6" s="20" t="s">
        <v>92</v>
      </c>
      <c r="B6" s="20" t="s">
        <v>505</v>
      </c>
      <c r="C6" s="21" t="s">
        <v>492</v>
      </c>
      <c r="D6" s="20" t="s">
        <v>237</v>
      </c>
      <c r="E6" s="20" t="s">
        <v>517</v>
      </c>
      <c r="F6" s="20">
        <v>0.7</v>
      </c>
      <c r="G6" s="20">
        <v>2500</v>
      </c>
      <c r="H6" s="20">
        <v>2500</v>
      </c>
      <c r="I6" s="20">
        <v>2500</v>
      </c>
      <c r="J6" s="20">
        <v>10000</v>
      </c>
      <c r="K6" s="20" t="s">
        <v>525</v>
      </c>
      <c r="L6" s="20" t="s">
        <v>507</v>
      </c>
      <c r="M6" s="279" t="s">
        <v>1106</v>
      </c>
      <c r="N6" s="20">
        <v>3</v>
      </c>
      <c r="O6" s="20">
        <v>2.5</v>
      </c>
      <c r="P6" s="20">
        <v>12</v>
      </c>
      <c r="Q6" s="20">
        <v>11.25</v>
      </c>
      <c r="R6" s="20">
        <v>0.75</v>
      </c>
      <c r="S6" s="20">
        <v>10</v>
      </c>
      <c r="T6" s="20">
        <v>0.5</v>
      </c>
      <c r="U6" s="20">
        <v>36</v>
      </c>
      <c r="V6" s="20">
        <v>2.5</v>
      </c>
      <c r="W6" s="20" t="s">
        <v>508</v>
      </c>
      <c r="X6" s="20">
        <v>0</v>
      </c>
      <c r="Y6" s="20" t="s">
        <v>495</v>
      </c>
      <c r="Z6" s="20" t="s">
        <v>460</v>
      </c>
      <c r="AA6" s="20">
        <v>1</v>
      </c>
      <c r="AB6" s="20">
        <v>15</v>
      </c>
      <c r="AC6" s="21">
        <v>1.63</v>
      </c>
      <c r="AD6" s="20">
        <v>1</v>
      </c>
      <c r="AE6" s="20">
        <v>0</v>
      </c>
      <c r="AF6" s="20">
        <v>6</v>
      </c>
      <c r="AG6" s="21">
        <v>1.63</v>
      </c>
      <c r="AH6" s="20">
        <v>1</v>
      </c>
      <c r="AI6" s="20">
        <v>4</v>
      </c>
    </row>
    <row r="7" spans="1:35" x14ac:dyDescent="0.25">
      <c r="A7" s="20" t="s">
        <v>92</v>
      </c>
      <c r="B7" s="20" t="s">
        <v>505</v>
      </c>
      <c r="C7" s="21" t="s">
        <v>492</v>
      </c>
      <c r="D7" s="20" t="s">
        <v>455</v>
      </c>
      <c r="E7" s="20" t="s">
        <v>518</v>
      </c>
      <c r="F7" s="20">
        <v>0.7</v>
      </c>
      <c r="G7" s="20">
        <v>6500</v>
      </c>
      <c r="H7" s="20">
        <v>0</v>
      </c>
      <c r="I7" s="20">
        <v>0</v>
      </c>
      <c r="J7" s="20">
        <v>22500</v>
      </c>
      <c r="K7" s="20" t="s">
        <v>526</v>
      </c>
      <c r="L7" s="20" t="s">
        <v>507</v>
      </c>
      <c r="M7" s="279" t="s">
        <v>1107</v>
      </c>
      <c r="N7" s="20">
        <v>4</v>
      </c>
      <c r="O7" s="20">
        <v>3.5</v>
      </c>
      <c r="P7" s="20">
        <v>10</v>
      </c>
      <c r="Q7" s="20">
        <v>9.25</v>
      </c>
      <c r="R7" s="20">
        <v>0.5</v>
      </c>
      <c r="S7" s="20">
        <v>9</v>
      </c>
      <c r="T7" s="20">
        <v>0.5</v>
      </c>
      <c r="U7" s="20">
        <v>36</v>
      </c>
      <c r="V7" s="20">
        <v>2.5</v>
      </c>
      <c r="W7" s="20" t="s">
        <v>508</v>
      </c>
      <c r="X7" s="20">
        <v>0</v>
      </c>
      <c r="Y7" s="20" t="s">
        <v>495</v>
      </c>
      <c r="Z7" s="20" t="s">
        <v>460</v>
      </c>
      <c r="AA7" s="20">
        <v>1</v>
      </c>
      <c r="AB7" s="20">
        <v>12</v>
      </c>
      <c r="AC7" s="21">
        <v>1.63</v>
      </c>
      <c r="AD7" s="20">
        <v>1</v>
      </c>
      <c r="AE7" s="20">
        <v>0</v>
      </c>
      <c r="AF7" s="20">
        <v>4</v>
      </c>
      <c r="AG7" s="21">
        <v>1.63</v>
      </c>
      <c r="AH7" s="20">
        <v>1</v>
      </c>
      <c r="AI7" s="20">
        <v>4</v>
      </c>
    </row>
    <row r="8" spans="1:35" x14ac:dyDescent="0.25">
      <c r="A8" s="20" t="s">
        <v>92</v>
      </c>
      <c r="B8" s="20" t="s">
        <v>505</v>
      </c>
      <c r="C8" s="21" t="s">
        <v>492</v>
      </c>
      <c r="D8" s="20" t="s">
        <v>455</v>
      </c>
      <c r="E8" s="20" t="s">
        <v>456</v>
      </c>
      <c r="F8" s="20">
        <v>0.8</v>
      </c>
      <c r="G8" s="20">
        <v>7500</v>
      </c>
      <c r="H8" s="20">
        <v>1500</v>
      </c>
      <c r="I8" s="20">
        <v>1500</v>
      </c>
      <c r="J8" s="20">
        <v>16000</v>
      </c>
      <c r="K8" s="20" t="s">
        <v>527</v>
      </c>
      <c r="L8" s="20" t="s">
        <v>507</v>
      </c>
      <c r="M8" s="279" t="s">
        <v>1106</v>
      </c>
      <c r="N8" s="20">
        <v>2</v>
      </c>
      <c r="O8" s="20">
        <v>1.5</v>
      </c>
      <c r="P8" s="20">
        <v>8</v>
      </c>
      <c r="Q8" s="20">
        <v>7.25</v>
      </c>
      <c r="R8" s="20">
        <v>0.625</v>
      </c>
      <c r="S8" s="20">
        <v>7.25</v>
      </c>
      <c r="T8" s="20">
        <v>0.5</v>
      </c>
      <c r="U8" s="20">
        <v>36</v>
      </c>
      <c r="V8" s="20">
        <v>2.5</v>
      </c>
      <c r="W8" s="20" t="s">
        <v>508</v>
      </c>
      <c r="X8" s="20">
        <v>0</v>
      </c>
      <c r="Y8" s="20" t="s">
        <v>495</v>
      </c>
      <c r="Z8" s="20" t="s">
        <v>460</v>
      </c>
      <c r="AA8" s="20">
        <v>1</v>
      </c>
      <c r="AB8" s="20">
        <v>12</v>
      </c>
      <c r="AC8" s="21">
        <v>1.63</v>
      </c>
      <c r="AD8" s="20">
        <v>1</v>
      </c>
      <c r="AE8" s="20">
        <v>0</v>
      </c>
      <c r="AF8" s="20">
        <v>6</v>
      </c>
      <c r="AG8" s="21">
        <v>1.63</v>
      </c>
      <c r="AH8" s="20">
        <v>1</v>
      </c>
      <c r="AI8" s="20">
        <v>4</v>
      </c>
    </row>
    <row r="9" spans="1:35" x14ac:dyDescent="0.25">
      <c r="A9" s="20" t="s">
        <v>92</v>
      </c>
      <c r="B9" s="20" t="s">
        <v>505</v>
      </c>
      <c r="C9" s="21" t="s">
        <v>519</v>
      </c>
      <c r="D9" s="20" t="s">
        <v>237</v>
      </c>
      <c r="E9" s="20" t="s">
        <v>515</v>
      </c>
      <c r="F9" s="20">
        <v>0.7</v>
      </c>
      <c r="G9" s="20">
        <v>0</v>
      </c>
      <c r="H9" s="20">
        <v>9750</v>
      </c>
      <c r="I9" s="20">
        <v>9750</v>
      </c>
      <c r="J9" s="20">
        <v>19500</v>
      </c>
      <c r="K9" s="20" t="s">
        <v>528</v>
      </c>
      <c r="L9" s="20" t="s">
        <v>507</v>
      </c>
      <c r="M9" s="279" t="s">
        <v>1106</v>
      </c>
      <c r="N9" s="20">
        <v>3</v>
      </c>
      <c r="O9" s="20">
        <v>2.5</v>
      </c>
      <c r="P9" s="20">
        <v>8</v>
      </c>
      <c r="Q9" s="20">
        <v>7.25</v>
      </c>
      <c r="R9" s="20">
        <v>0.5</v>
      </c>
      <c r="S9" s="20">
        <v>7</v>
      </c>
      <c r="T9" s="20">
        <v>0.5</v>
      </c>
      <c r="U9" s="20">
        <v>36</v>
      </c>
      <c r="V9" s="20">
        <v>2.5</v>
      </c>
      <c r="W9" s="20" t="s">
        <v>508</v>
      </c>
      <c r="X9" s="20">
        <v>0</v>
      </c>
      <c r="Y9" s="20" t="s">
        <v>495</v>
      </c>
      <c r="Z9" s="20" t="s">
        <v>460</v>
      </c>
      <c r="AA9" s="20">
        <v>1</v>
      </c>
      <c r="AB9" s="20">
        <v>12</v>
      </c>
      <c r="AC9" s="21">
        <v>1.63</v>
      </c>
      <c r="AD9" s="20">
        <v>1</v>
      </c>
      <c r="AE9" s="20">
        <v>0</v>
      </c>
      <c r="AF9" s="20">
        <v>6</v>
      </c>
      <c r="AG9" s="21">
        <v>1.63</v>
      </c>
      <c r="AH9" s="20">
        <v>1</v>
      </c>
      <c r="AI9" s="20">
        <v>4</v>
      </c>
    </row>
    <row r="10" spans="1:35" x14ac:dyDescent="0.25">
      <c r="A10" s="20" t="s">
        <v>92</v>
      </c>
      <c r="B10" s="20" t="s">
        <v>505</v>
      </c>
      <c r="C10" s="21" t="s">
        <v>519</v>
      </c>
      <c r="D10" s="20" t="s">
        <v>237</v>
      </c>
      <c r="E10" s="20" t="s">
        <v>516</v>
      </c>
      <c r="F10" s="20">
        <v>0.8</v>
      </c>
      <c r="G10" s="20">
        <v>5500</v>
      </c>
      <c r="H10" s="20">
        <v>2250</v>
      </c>
      <c r="I10" s="20">
        <v>2250</v>
      </c>
      <c r="J10" s="20">
        <v>12500</v>
      </c>
      <c r="K10" s="20" t="s">
        <v>529</v>
      </c>
      <c r="L10" s="20" t="s">
        <v>507</v>
      </c>
      <c r="M10" s="279" t="s">
        <v>1106</v>
      </c>
      <c r="N10" s="20">
        <v>3</v>
      </c>
      <c r="O10" s="20">
        <v>2.5</v>
      </c>
      <c r="P10" s="20">
        <v>12</v>
      </c>
      <c r="Q10" s="20">
        <v>11.25</v>
      </c>
      <c r="R10" s="20">
        <v>0.5</v>
      </c>
      <c r="S10" s="20">
        <v>11.25</v>
      </c>
      <c r="T10" s="20">
        <v>0.5</v>
      </c>
      <c r="U10" s="20">
        <v>36</v>
      </c>
      <c r="V10" s="20">
        <v>2.5</v>
      </c>
      <c r="W10" s="20" t="s">
        <v>508</v>
      </c>
      <c r="X10" s="20">
        <v>0</v>
      </c>
      <c r="Y10" s="20" t="s">
        <v>495</v>
      </c>
      <c r="Z10" s="20" t="s">
        <v>460</v>
      </c>
      <c r="AA10" s="20">
        <v>1</v>
      </c>
      <c r="AB10" s="20">
        <v>16</v>
      </c>
      <c r="AC10" s="21">
        <v>1.63</v>
      </c>
      <c r="AD10" s="20">
        <v>1</v>
      </c>
      <c r="AE10" s="20">
        <v>0</v>
      </c>
      <c r="AF10" s="20">
        <v>8</v>
      </c>
      <c r="AG10" s="21">
        <v>1.63</v>
      </c>
      <c r="AH10" s="20">
        <v>1</v>
      </c>
      <c r="AI10" s="20">
        <v>4</v>
      </c>
    </row>
    <row r="11" spans="1:35" x14ac:dyDescent="0.25">
      <c r="A11" s="20" t="s">
        <v>92</v>
      </c>
      <c r="B11" s="20" t="s">
        <v>505</v>
      </c>
      <c r="C11" s="21" t="s">
        <v>520</v>
      </c>
      <c r="D11" s="20" t="s">
        <v>455</v>
      </c>
      <c r="E11" s="20" t="s">
        <v>517</v>
      </c>
      <c r="F11" s="20">
        <v>0.7</v>
      </c>
      <c r="G11" s="20">
        <v>2500</v>
      </c>
      <c r="H11" s="20">
        <v>5000</v>
      </c>
      <c r="I11" s="20">
        <v>5000</v>
      </c>
      <c r="J11" s="20">
        <v>15000</v>
      </c>
      <c r="K11" s="20" t="s">
        <v>530</v>
      </c>
      <c r="L11" s="20" t="s">
        <v>507</v>
      </c>
      <c r="M11" s="279" t="s">
        <v>1107</v>
      </c>
      <c r="N11" s="20">
        <v>2</v>
      </c>
      <c r="O11" s="20">
        <v>1.5</v>
      </c>
      <c r="P11" s="20">
        <v>10</v>
      </c>
      <c r="Q11" s="20">
        <v>9.25</v>
      </c>
      <c r="R11" s="20">
        <v>0.75</v>
      </c>
      <c r="S11" s="20">
        <v>9</v>
      </c>
      <c r="T11" s="20">
        <v>0.5</v>
      </c>
      <c r="U11" s="20">
        <v>36</v>
      </c>
      <c r="V11" s="20">
        <v>2.5</v>
      </c>
      <c r="W11" s="20" t="s">
        <v>508</v>
      </c>
      <c r="X11" s="20">
        <v>0</v>
      </c>
      <c r="Y11" s="20" t="s">
        <v>495</v>
      </c>
      <c r="Z11" s="20" t="s">
        <v>460</v>
      </c>
      <c r="AA11" s="20">
        <v>1</v>
      </c>
      <c r="AB11" s="20">
        <v>12</v>
      </c>
      <c r="AC11" s="21">
        <v>1.63</v>
      </c>
      <c r="AD11" s="20">
        <v>1</v>
      </c>
      <c r="AE11" s="20">
        <v>0</v>
      </c>
      <c r="AF11" s="20">
        <v>6</v>
      </c>
      <c r="AG11" s="21">
        <v>1.63</v>
      </c>
      <c r="AH11" s="20">
        <v>1</v>
      </c>
      <c r="AI11" s="20">
        <v>4</v>
      </c>
    </row>
    <row r="12" spans="1:35" x14ac:dyDescent="0.25">
      <c r="A12" s="20" t="s">
        <v>92</v>
      </c>
      <c r="B12" s="20" t="s">
        <v>505</v>
      </c>
      <c r="C12" s="21" t="s">
        <v>520</v>
      </c>
      <c r="D12" s="20" t="s">
        <v>455</v>
      </c>
      <c r="E12" s="20" t="s">
        <v>518</v>
      </c>
      <c r="F12" s="20">
        <v>0.7</v>
      </c>
      <c r="G12" s="20">
        <v>0</v>
      </c>
      <c r="H12" s="20">
        <v>5000</v>
      </c>
      <c r="I12" s="20">
        <v>5000</v>
      </c>
      <c r="J12" s="20">
        <v>22000</v>
      </c>
      <c r="K12" s="20" t="s">
        <v>531</v>
      </c>
      <c r="L12" s="20" t="s">
        <v>507</v>
      </c>
      <c r="M12" s="279" t="s">
        <v>1106</v>
      </c>
      <c r="N12" s="20">
        <v>4</v>
      </c>
      <c r="O12" s="20">
        <v>3.5</v>
      </c>
      <c r="P12" s="20">
        <v>10</v>
      </c>
      <c r="Q12" s="20">
        <v>9.25</v>
      </c>
      <c r="R12" s="20">
        <v>0.5</v>
      </c>
      <c r="S12" s="20">
        <v>8.75</v>
      </c>
      <c r="T12" s="20">
        <v>0.5</v>
      </c>
      <c r="U12" s="20">
        <v>36</v>
      </c>
      <c r="V12" s="20">
        <v>2.5</v>
      </c>
      <c r="W12" s="20" t="s">
        <v>508</v>
      </c>
      <c r="X12" s="20">
        <v>0</v>
      </c>
      <c r="Y12" s="20" t="s">
        <v>495</v>
      </c>
      <c r="Z12" s="20" t="s">
        <v>460</v>
      </c>
      <c r="AA12" s="20">
        <v>1</v>
      </c>
      <c r="AB12" s="20">
        <v>10</v>
      </c>
      <c r="AC12" s="21">
        <v>1.63</v>
      </c>
      <c r="AD12" s="20">
        <v>1</v>
      </c>
      <c r="AE12" s="20">
        <v>0</v>
      </c>
      <c r="AF12" s="20">
        <v>5</v>
      </c>
      <c r="AG12" s="21">
        <v>1.63</v>
      </c>
      <c r="AH12" s="20">
        <v>1</v>
      </c>
      <c r="AI12" s="20">
        <v>4</v>
      </c>
    </row>
    <row r="18" spans="2:6" x14ac:dyDescent="0.25">
      <c r="B18" s="4"/>
      <c r="C18" s="16"/>
      <c r="D18" s="4"/>
      <c r="F18" s="4"/>
    </row>
    <row r="19" spans="2:6" x14ac:dyDescent="0.25">
      <c r="B19" s="11"/>
      <c r="D19" s="11"/>
      <c r="F19" s="11"/>
    </row>
    <row r="22" spans="2:6" x14ac:dyDescent="0.25">
      <c r="B22" s="4"/>
      <c r="C22" s="16"/>
      <c r="D22" s="4"/>
      <c r="F22" s="4"/>
    </row>
  </sheetData>
  <pageMargins left="0.7" right="0.7" top="0.75" bottom="0.75" header="0.3" footer="0.3"/>
  <pageSetup paperSize="9" orientation="portrait" r:id="rId1"/>
  <ignoredErrors>
    <ignoredError sqref="C3:C12"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1:O12"/>
  <sheetViews>
    <sheetView workbookViewId="0">
      <selection activeCell="A3" sqref="A3"/>
    </sheetView>
  </sheetViews>
  <sheetFormatPr defaultRowHeight="15" x14ac:dyDescent="0.25"/>
  <cols>
    <col min="1" max="1" width="15.42578125" bestFit="1" customWidth="1"/>
    <col min="2" max="2" width="14.7109375" bestFit="1" customWidth="1"/>
    <col min="3" max="3" width="10.5703125" bestFit="1" customWidth="1"/>
    <col min="4" max="5" width="10.42578125" bestFit="1" customWidth="1"/>
    <col min="6" max="6" width="10.28515625" bestFit="1" customWidth="1"/>
    <col min="7" max="8" width="10.42578125" bestFit="1" customWidth="1"/>
    <col min="9" max="9" width="10.140625" customWidth="1"/>
    <col min="10" max="11" width="10.42578125" bestFit="1" customWidth="1"/>
    <col min="12" max="12" width="10.5703125" bestFit="1" customWidth="1"/>
    <col min="13" max="14" width="10.42578125" bestFit="1" customWidth="1"/>
    <col min="15" max="15" width="9.7109375" bestFit="1" customWidth="1"/>
  </cols>
  <sheetData>
    <row r="1" spans="1:15" x14ac:dyDescent="0.25">
      <c r="A1" s="23" t="s">
        <v>467</v>
      </c>
      <c r="B1" s="23" t="s">
        <v>468</v>
      </c>
      <c r="C1" s="23" t="s">
        <v>469</v>
      </c>
      <c r="D1" s="23" t="s">
        <v>473</v>
      </c>
      <c r="E1" s="23" t="s">
        <v>474</v>
      </c>
      <c r="F1" s="23" t="s">
        <v>475</v>
      </c>
      <c r="G1" s="23" t="s">
        <v>509</v>
      </c>
      <c r="H1" s="23" t="s">
        <v>510</v>
      </c>
      <c r="I1" s="23" t="s">
        <v>511</v>
      </c>
      <c r="J1" s="23" t="s">
        <v>479</v>
      </c>
      <c r="K1" s="23" t="s">
        <v>480</v>
      </c>
      <c r="L1" s="23" t="s">
        <v>481</v>
      </c>
      <c r="M1" s="23" t="s">
        <v>512</v>
      </c>
      <c r="N1" s="23" t="s">
        <v>513</v>
      </c>
      <c r="O1" s="23" t="s">
        <v>514</v>
      </c>
    </row>
    <row r="2" spans="1:15" x14ac:dyDescent="0.25">
      <c r="A2" s="23" t="s">
        <v>486</v>
      </c>
      <c r="B2" s="23" t="s">
        <v>486</v>
      </c>
      <c r="C2" s="23"/>
      <c r="D2" s="23" t="s">
        <v>486</v>
      </c>
      <c r="E2" s="23" t="s">
        <v>486</v>
      </c>
      <c r="F2" s="23"/>
      <c r="G2" s="23" t="s">
        <v>486</v>
      </c>
      <c r="H2" s="23" t="s">
        <v>486</v>
      </c>
      <c r="I2" s="23"/>
      <c r="J2" s="23" t="s">
        <v>486</v>
      </c>
      <c r="K2" s="23" t="s">
        <v>486</v>
      </c>
      <c r="L2" s="23"/>
      <c r="M2" s="23" t="s">
        <v>486</v>
      </c>
      <c r="N2" s="23" t="s">
        <v>486</v>
      </c>
      <c r="O2" s="23"/>
    </row>
    <row r="3" spans="1:15" x14ac:dyDescent="0.25">
      <c r="A3" s="22"/>
      <c r="B3" s="22"/>
      <c r="C3" s="22"/>
      <c r="D3" s="22"/>
      <c r="E3" s="22"/>
      <c r="F3" s="22"/>
      <c r="G3" s="22"/>
      <c r="H3" s="22"/>
      <c r="I3" s="22"/>
      <c r="J3" s="22"/>
      <c r="K3" s="22"/>
      <c r="L3" s="22"/>
      <c r="M3" s="22"/>
      <c r="N3" s="22"/>
      <c r="O3" s="22"/>
    </row>
    <row r="4" spans="1:15" x14ac:dyDescent="0.25">
      <c r="A4" s="22"/>
      <c r="B4" s="22"/>
      <c r="C4" s="22"/>
      <c r="D4" s="22"/>
      <c r="E4" s="22"/>
      <c r="F4" s="22"/>
      <c r="G4" s="22"/>
      <c r="H4" s="22"/>
      <c r="I4" s="22"/>
      <c r="J4" s="22"/>
      <c r="K4" s="22"/>
      <c r="L4" s="22"/>
      <c r="M4" s="22"/>
      <c r="N4" s="22"/>
      <c r="O4" s="22"/>
    </row>
    <row r="5" spans="1:15" x14ac:dyDescent="0.25">
      <c r="A5" s="22"/>
      <c r="B5" s="22"/>
      <c r="C5" s="22"/>
      <c r="D5" s="22"/>
      <c r="E5" s="22"/>
      <c r="F5" s="22"/>
      <c r="G5" s="22"/>
      <c r="H5" s="22"/>
      <c r="I5" s="22"/>
      <c r="J5" s="22"/>
      <c r="K5" s="22"/>
      <c r="L5" s="22"/>
      <c r="M5" s="22"/>
      <c r="N5" s="22"/>
      <c r="O5" s="22"/>
    </row>
    <row r="6" spans="1:15" x14ac:dyDescent="0.25">
      <c r="A6" s="22"/>
      <c r="B6" s="22"/>
      <c r="C6" s="22"/>
      <c r="D6" s="22"/>
      <c r="E6" s="22"/>
      <c r="F6" s="22"/>
      <c r="G6" s="22"/>
      <c r="H6" s="22"/>
      <c r="I6" s="22"/>
      <c r="J6" s="22"/>
      <c r="K6" s="22"/>
      <c r="L6" s="22"/>
      <c r="M6" s="22"/>
      <c r="N6" s="22"/>
      <c r="O6" s="22"/>
    </row>
    <row r="7" spans="1:15" x14ac:dyDescent="0.25">
      <c r="A7" s="22"/>
      <c r="B7" s="22"/>
      <c r="C7" s="22"/>
      <c r="D7" s="22"/>
      <c r="E7" s="22"/>
      <c r="F7" s="22"/>
      <c r="G7" s="22"/>
      <c r="H7" s="22"/>
      <c r="I7" s="22"/>
      <c r="J7" s="22"/>
      <c r="K7" s="22"/>
      <c r="L7" s="22"/>
      <c r="M7" s="22"/>
      <c r="N7" s="22"/>
      <c r="O7" s="22"/>
    </row>
    <row r="8" spans="1:15" x14ac:dyDescent="0.25">
      <c r="A8" s="22"/>
      <c r="B8" s="22"/>
      <c r="C8" s="22"/>
      <c r="D8" s="22"/>
      <c r="E8" s="22"/>
      <c r="F8" s="22"/>
      <c r="G8" s="22"/>
      <c r="H8" s="22"/>
      <c r="I8" s="22"/>
      <c r="J8" s="22"/>
      <c r="K8" s="22"/>
      <c r="L8" s="22"/>
      <c r="M8" s="22"/>
      <c r="N8" s="22"/>
      <c r="O8" s="22"/>
    </row>
    <row r="9" spans="1:15" x14ac:dyDescent="0.25">
      <c r="A9" s="22"/>
      <c r="B9" s="22"/>
      <c r="C9" s="22"/>
      <c r="D9" s="22"/>
      <c r="E9" s="22"/>
      <c r="F9" s="22"/>
      <c r="G9" s="22"/>
      <c r="H9" s="22"/>
      <c r="I9" s="22"/>
      <c r="J9" s="22"/>
      <c r="K9" s="22"/>
      <c r="L9" s="22"/>
      <c r="M9" s="22"/>
      <c r="N9" s="22"/>
      <c r="O9" s="22"/>
    </row>
    <row r="10" spans="1:15" x14ac:dyDescent="0.25">
      <c r="A10" s="22"/>
      <c r="B10" s="22"/>
      <c r="C10" s="22"/>
      <c r="D10" s="22"/>
      <c r="E10" s="22"/>
      <c r="F10" s="22"/>
      <c r="G10" s="22"/>
      <c r="H10" s="22"/>
      <c r="I10" s="22"/>
      <c r="J10" s="22"/>
      <c r="K10" s="22"/>
      <c r="L10" s="22"/>
      <c r="M10" s="22"/>
      <c r="N10" s="22"/>
      <c r="O10" s="22"/>
    </row>
    <row r="11" spans="1:15" x14ac:dyDescent="0.25">
      <c r="A11" s="22"/>
      <c r="B11" s="22"/>
      <c r="C11" s="22"/>
      <c r="D11" s="22"/>
      <c r="E11" s="22"/>
      <c r="F11" s="22"/>
      <c r="G11" s="22"/>
      <c r="H11" s="22"/>
      <c r="I11" s="22"/>
      <c r="J11" s="22"/>
      <c r="K11" s="22"/>
      <c r="L11" s="22"/>
      <c r="M11" s="22"/>
      <c r="N11" s="22"/>
      <c r="O11" s="22"/>
    </row>
    <row r="12" spans="1:15" x14ac:dyDescent="0.25">
      <c r="A12" s="22"/>
      <c r="B12" s="22"/>
      <c r="C12" s="22"/>
      <c r="D12" s="22"/>
      <c r="E12" s="22"/>
      <c r="F12" s="22"/>
      <c r="G12" s="22"/>
      <c r="H12" s="22"/>
      <c r="I12" s="22"/>
      <c r="J12" s="22"/>
      <c r="K12" s="22"/>
      <c r="L12" s="22"/>
      <c r="M12" s="22"/>
      <c r="N12" s="22"/>
      <c r="O12" s="22"/>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
  <dimension ref="A1:AJ20"/>
  <sheetViews>
    <sheetView workbookViewId="0">
      <selection activeCell="Q1" sqref="Q1"/>
    </sheetView>
  </sheetViews>
  <sheetFormatPr defaultRowHeight="15" x14ac:dyDescent="0.25"/>
  <cols>
    <col min="1" max="1" width="17.28515625" bestFit="1" customWidth="1"/>
    <col min="2" max="2" width="17.42578125" bestFit="1" customWidth="1"/>
    <col min="3" max="3" width="13.5703125" style="11" customWidth="1"/>
    <col min="4" max="4" width="15.140625" customWidth="1"/>
    <col min="5" max="5" width="17.42578125" bestFit="1" customWidth="1"/>
    <col min="6" max="6" width="8.140625" bestFit="1" customWidth="1"/>
    <col min="7" max="7" width="9" customWidth="1"/>
    <col min="8" max="8" width="9" bestFit="1" customWidth="1"/>
    <col min="9" max="10" width="8.5703125" bestFit="1" customWidth="1"/>
    <col min="11" max="12" width="8.42578125" bestFit="1" customWidth="1"/>
    <col min="13" max="13" width="15.7109375" bestFit="1" customWidth="1"/>
    <col min="14" max="14" width="6.42578125" bestFit="1" customWidth="1"/>
    <col min="15" max="15" width="16.140625" bestFit="1" customWidth="1"/>
    <col min="16" max="16" width="15.5703125" bestFit="1" customWidth="1"/>
    <col min="17" max="17" width="21" style="10" customWidth="1"/>
    <col min="18" max="18" width="11.42578125" bestFit="1" customWidth="1"/>
    <col min="19" max="19" width="6.42578125" bestFit="1" customWidth="1"/>
    <col min="20" max="20" width="11.42578125" bestFit="1" customWidth="1"/>
    <col min="21" max="21" width="6.42578125" customWidth="1"/>
    <col min="22" max="22" width="6.7109375" bestFit="1" customWidth="1"/>
    <col min="23" max="23" width="16.42578125" bestFit="1" customWidth="1"/>
    <col min="24" max="24" width="11.5703125" bestFit="1" customWidth="1"/>
    <col min="25" max="25" width="17.7109375" bestFit="1" customWidth="1"/>
    <col min="26" max="26" width="20.7109375" bestFit="1" customWidth="1"/>
    <col min="27" max="27" width="17" bestFit="1" customWidth="1"/>
    <col min="28" max="28" width="16.140625" bestFit="1" customWidth="1"/>
    <col min="29" max="29" width="8.140625" customWidth="1"/>
    <col min="30" max="30" width="10" style="11" bestFit="1" customWidth="1"/>
    <col min="31" max="31" width="10" bestFit="1" customWidth="1"/>
    <col min="32" max="32" width="15" bestFit="1" customWidth="1"/>
    <col min="33" max="33" width="8.140625" bestFit="1" customWidth="1"/>
    <col min="34" max="35" width="10" bestFit="1" customWidth="1"/>
    <col min="36" max="36" width="8.28515625" bestFit="1" customWidth="1"/>
  </cols>
  <sheetData>
    <row r="1" spans="1:36" x14ac:dyDescent="0.25">
      <c r="A1" s="18" t="s">
        <v>53</v>
      </c>
      <c r="B1" s="18" t="s">
        <v>54</v>
      </c>
      <c r="C1" s="19" t="s">
        <v>438</v>
      </c>
      <c r="D1" s="18" t="s">
        <v>230</v>
      </c>
      <c r="E1" s="18" t="s">
        <v>63</v>
      </c>
      <c r="F1" s="18" t="s">
        <v>439</v>
      </c>
      <c r="G1" s="18" t="s">
        <v>249</v>
      </c>
      <c r="H1" s="18" t="s">
        <v>250</v>
      </c>
      <c r="I1" s="18" t="s">
        <v>440</v>
      </c>
      <c r="J1" s="18" t="s">
        <v>441</v>
      </c>
      <c r="K1" s="18" t="s">
        <v>442</v>
      </c>
      <c r="L1" s="18" t="s">
        <v>443</v>
      </c>
      <c r="M1" s="18" t="s">
        <v>61</v>
      </c>
      <c r="N1" s="18" t="s">
        <v>444</v>
      </c>
      <c r="O1" s="18" t="s">
        <v>445</v>
      </c>
      <c r="P1" s="18" t="s">
        <v>446</v>
      </c>
      <c r="Q1" s="278" t="s">
        <v>1105</v>
      </c>
      <c r="R1" s="18" t="s">
        <v>497</v>
      </c>
      <c r="S1" s="18" t="s">
        <v>66</v>
      </c>
      <c r="T1" s="18" t="s">
        <v>498</v>
      </c>
      <c r="U1" s="18" t="s">
        <v>447</v>
      </c>
      <c r="V1" s="18" t="s">
        <v>69</v>
      </c>
      <c r="W1" s="18" t="s">
        <v>504</v>
      </c>
      <c r="X1" s="18" t="s">
        <v>489</v>
      </c>
      <c r="Y1" s="18" t="s">
        <v>448</v>
      </c>
      <c r="Z1" s="18" t="s">
        <v>490</v>
      </c>
      <c r="AA1" s="18" t="s">
        <v>449</v>
      </c>
      <c r="AB1" s="18" t="s">
        <v>71</v>
      </c>
      <c r="AC1" s="18" t="s">
        <v>87</v>
      </c>
      <c r="AD1" s="19" t="s">
        <v>255</v>
      </c>
      <c r="AE1" s="18" t="s">
        <v>450</v>
      </c>
      <c r="AF1" s="18" t="s">
        <v>76</v>
      </c>
      <c r="AG1" s="18" t="s">
        <v>74</v>
      </c>
      <c r="AH1" s="19" t="s">
        <v>75</v>
      </c>
      <c r="AI1" s="18" t="s">
        <v>451</v>
      </c>
      <c r="AJ1" s="18" t="s">
        <v>83</v>
      </c>
    </row>
    <row r="2" spans="1:36" x14ac:dyDescent="0.25">
      <c r="A2" s="18"/>
      <c r="B2" s="18"/>
      <c r="C2" s="19"/>
      <c r="D2" s="18"/>
      <c r="E2" s="18"/>
      <c r="F2" s="18"/>
      <c r="G2" s="18" t="s">
        <v>452</v>
      </c>
      <c r="H2" s="18" t="s">
        <v>452</v>
      </c>
      <c r="I2" s="18" t="s">
        <v>453</v>
      </c>
      <c r="J2" s="18" t="s">
        <v>453</v>
      </c>
      <c r="K2" s="18" t="s">
        <v>453</v>
      </c>
      <c r="L2" s="18" t="s">
        <v>453</v>
      </c>
      <c r="M2" s="18"/>
      <c r="N2" s="18" t="s">
        <v>453</v>
      </c>
      <c r="O2" s="18"/>
      <c r="P2" s="18"/>
      <c r="Q2" s="278"/>
      <c r="R2" s="18" t="s">
        <v>179</v>
      </c>
      <c r="S2" s="18" t="s">
        <v>179</v>
      </c>
      <c r="T2" s="18" t="s">
        <v>179</v>
      </c>
      <c r="U2" s="18" t="s">
        <v>179</v>
      </c>
      <c r="V2" s="18"/>
      <c r="W2" s="18"/>
      <c r="X2" s="18"/>
      <c r="Y2" s="18"/>
      <c r="Z2" s="18"/>
      <c r="AA2" s="18"/>
      <c r="AB2" s="18"/>
      <c r="AC2" s="18" t="s">
        <v>40</v>
      </c>
      <c r="AD2" s="19"/>
      <c r="AE2" s="18"/>
      <c r="AF2" s="18"/>
      <c r="AG2" s="18" t="s">
        <v>40</v>
      </c>
      <c r="AH2" s="19"/>
      <c r="AI2" s="18"/>
      <c r="AJ2" s="18" t="s">
        <v>179</v>
      </c>
    </row>
    <row r="3" spans="1:36" x14ac:dyDescent="0.25">
      <c r="A3" s="20" t="s">
        <v>92</v>
      </c>
      <c r="B3" s="20" t="s">
        <v>93</v>
      </c>
      <c r="C3" s="21" t="s">
        <v>454</v>
      </c>
      <c r="D3" s="20" t="s">
        <v>455</v>
      </c>
      <c r="E3" s="20" t="s">
        <v>456</v>
      </c>
      <c r="F3" s="20">
        <v>0.7</v>
      </c>
      <c r="G3" s="20">
        <v>7499.9999999999991</v>
      </c>
      <c r="H3" s="20">
        <v>0</v>
      </c>
      <c r="I3" s="20">
        <v>5000</v>
      </c>
      <c r="J3" s="20">
        <v>0</v>
      </c>
      <c r="K3" s="20">
        <v>5000</v>
      </c>
      <c r="L3" s="20">
        <v>0</v>
      </c>
      <c r="M3" s="20" t="s">
        <v>94</v>
      </c>
      <c r="N3" s="20">
        <v>1000</v>
      </c>
      <c r="O3" s="20" t="s">
        <v>506</v>
      </c>
      <c r="P3" s="20" t="s">
        <v>507</v>
      </c>
      <c r="Q3" s="279" t="s">
        <v>1106</v>
      </c>
      <c r="R3" s="20">
        <v>2.9999999999999996</v>
      </c>
      <c r="S3" s="20">
        <v>2.4999999999999996</v>
      </c>
      <c r="T3" s="20">
        <v>11.999999999999998</v>
      </c>
      <c r="U3" s="20">
        <v>11.249999999999998</v>
      </c>
      <c r="V3" s="20">
        <v>2</v>
      </c>
      <c r="W3" s="20" t="s">
        <v>508</v>
      </c>
      <c r="X3" s="20">
        <v>0</v>
      </c>
      <c r="Y3" s="20" t="s">
        <v>459</v>
      </c>
      <c r="Z3" s="20" t="s">
        <v>495</v>
      </c>
      <c r="AA3" s="20" t="s">
        <v>460</v>
      </c>
      <c r="AB3" s="20">
        <v>0</v>
      </c>
      <c r="AC3" s="20">
        <v>12</v>
      </c>
      <c r="AD3" s="21">
        <v>1.63</v>
      </c>
      <c r="AE3" s="20">
        <v>1</v>
      </c>
      <c r="AF3" s="20">
        <v>0</v>
      </c>
      <c r="AG3" s="20">
        <v>6</v>
      </c>
      <c r="AH3" s="21">
        <v>1.63</v>
      </c>
      <c r="AI3" s="20">
        <v>1</v>
      </c>
      <c r="AJ3" s="20">
        <v>4</v>
      </c>
    </row>
    <row r="4" spans="1:36" x14ac:dyDescent="0.25">
      <c r="A4" s="20" t="s">
        <v>92</v>
      </c>
      <c r="B4" s="20" t="s">
        <v>93</v>
      </c>
      <c r="C4" s="21" t="s">
        <v>454</v>
      </c>
      <c r="D4" s="20" t="s">
        <v>237</v>
      </c>
      <c r="E4" s="20" t="s">
        <v>515</v>
      </c>
      <c r="F4" s="20">
        <v>0.8</v>
      </c>
      <c r="G4" s="20">
        <v>0</v>
      </c>
      <c r="H4" s="20">
        <v>1250</v>
      </c>
      <c r="I4" s="20">
        <v>0</v>
      </c>
      <c r="J4" s="20">
        <v>1000</v>
      </c>
      <c r="K4" s="20">
        <v>0</v>
      </c>
      <c r="L4" s="20">
        <v>1000</v>
      </c>
      <c r="M4" s="20" t="s">
        <v>48</v>
      </c>
      <c r="N4" s="20">
        <v>0</v>
      </c>
      <c r="O4" s="20" t="s">
        <v>521</v>
      </c>
      <c r="P4" s="20" t="s">
        <v>507</v>
      </c>
      <c r="Q4" s="279" t="s">
        <v>1106</v>
      </c>
      <c r="R4" s="20">
        <v>2</v>
      </c>
      <c r="S4" s="20">
        <v>1.4999999999999998</v>
      </c>
      <c r="T4" s="20">
        <v>4</v>
      </c>
      <c r="U4" s="20">
        <v>3.5</v>
      </c>
      <c r="V4" s="20">
        <v>2</v>
      </c>
      <c r="W4" s="20" t="s">
        <v>508</v>
      </c>
      <c r="X4" s="20">
        <v>0</v>
      </c>
      <c r="Y4" s="20" t="s">
        <v>522</v>
      </c>
      <c r="Z4" s="20" t="s">
        <v>495</v>
      </c>
      <c r="AA4" s="20" t="s">
        <v>460</v>
      </c>
      <c r="AB4" s="20">
        <v>1</v>
      </c>
      <c r="AC4" s="20">
        <v>18</v>
      </c>
      <c r="AD4" s="21">
        <v>1.63</v>
      </c>
      <c r="AE4" s="20">
        <v>1</v>
      </c>
      <c r="AF4" s="20">
        <v>1</v>
      </c>
      <c r="AG4" s="20">
        <v>0</v>
      </c>
      <c r="AH4" s="21">
        <v>1.63</v>
      </c>
      <c r="AI4" s="20">
        <v>1</v>
      </c>
      <c r="AJ4" s="20">
        <v>4</v>
      </c>
    </row>
    <row r="5" spans="1:36" x14ac:dyDescent="0.25">
      <c r="A5" s="20" t="s">
        <v>92</v>
      </c>
      <c r="B5" s="20" t="s">
        <v>93</v>
      </c>
      <c r="C5" s="21" t="s">
        <v>454</v>
      </c>
      <c r="D5" s="20" t="s">
        <v>455</v>
      </c>
      <c r="E5" s="20" t="s">
        <v>516</v>
      </c>
      <c r="F5" s="20">
        <v>0.7</v>
      </c>
      <c r="G5" s="20">
        <v>5000</v>
      </c>
      <c r="H5" s="20">
        <v>1000</v>
      </c>
      <c r="I5" s="20">
        <v>1250</v>
      </c>
      <c r="J5" s="20">
        <v>1000</v>
      </c>
      <c r="K5" s="20">
        <v>1250</v>
      </c>
      <c r="L5" s="20">
        <v>100</v>
      </c>
      <c r="M5" s="20" t="s">
        <v>98</v>
      </c>
      <c r="N5" s="20">
        <v>500</v>
      </c>
      <c r="O5" s="20" t="s">
        <v>523</v>
      </c>
      <c r="P5" s="20" t="s">
        <v>507</v>
      </c>
      <c r="Q5" s="279" t="s">
        <v>1106</v>
      </c>
      <c r="R5" s="20">
        <v>2</v>
      </c>
      <c r="S5" s="20">
        <v>1.4999999999999998</v>
      </c>
      <c r="T5" s="20">
        <v>10</v>
      </c>
      <c r="U5" s="20">
        <v>9.25</v>
      </c>
      <c r="V5" s="20">
        <v>2</v>
      </c>
      <c r="W5" s="20" t="s">
        <v>508</v>
      </c>
      <c r="X5" s="20">
        <v>0</v>
      </c>
      <c r="Y5" s="20" t="s">
        <v>459</v>
      </c>
      <c r="Z5" s="20" t="s">
        <v>524</v>
      </c>
      <c r="AA5" s="20" t="s">
        <v>460</v>
      </c>
      <c r="AB5" s="20">
        <v>1</v>
      </c>
      <c r="AC5" s="20">
        <v>12</v>
      </c>
      <c r="AD5" s="21">
        <v>1.63</v>
      </c>
      <c r="AE5" s="20">
        <v>1</v>
      </c>
      <c r="AF5" s="20">
        <v>0</v>
      </c>
      <c r="AG5" s="20">
        <v>5</v>
      </c>
      <c r="AH5" s="21">
        <v>1.63</v>
      </c>
      <c r="AI5" s="20">
        <v>1</v>
      </c>
      <c r="AJ5" s="20">
        <v>4</v>
      </c>
    </row>
    <row r="6" spans="1:36" x14ac:dyDescent="0.25">
      <c r="A6" s="20" t="s">
        <v>92</v>
      </c>
      <c r="B6" s="20" t="s">
        <v>93</v>
      </c>
      <c r="C6" s="21" t="s">
        <v>492</v>
      </c>
      <c r="D6" s="20" t="s">
        <v>237</v>
      </c>
      <c r="E6" s="20" t="s">
        <v>517</v>
      </c>
      <c r="F6" s="20">
        <v>0.7</v>
      </c>
      <c r="G6" s="20">
        <v>2500</v>
      </c>
      <c r="H6" s="20">
        <v>0</v>
      </c>
      <c r="I6" s="20">
        <v>6500</v>
      </c>
      <c r="J6" s="20">
        <v>0</v>
      </c>
      <c r="K6" s="20">
        <v>7499.9999999999991</v>
      </c>
      <c r="L6" s="20">
        <v>0</v>
      </c>
      <c r="M6" s="20" t="s">
        <v>48</v>
      </c>
      <c r="N6" s="20">
        <v>0</v>
      </c>
      <c r="O6" s="20" t="s">
        <v>525</v>
      </c>
      <c r="P6" s="20" t="s">
        <v>507</v>
      </c>
      <c r="Q6" s="279" t="s">
        <v>1106</v>
      </c>
      <c r="R6" s="20">
        <v>2</v>
      </c>
      <c r="S6" s="20">
        <v>1.4999999999999998</v>
      </c>
      <c r="T6" s="20">
        <v>11.999999999999998</v>
      </c>
      <c r="U6" s="20">
        <v>11.249999999999998</v>
      </c>
      <c r="V6" s="20">
        <v>2</v>
      </c>
      <c r="W6" s="20" t="s">
        <v>508</v>
      </c>
      <c r="X6" s="20">
        <v>0</v>
      </c>
      <c r="Y6" s="20" t="s">
        <v>459</v>
      </c>
      <c r="Z6" s="20" t="s">
        <v>495</v>
      </c>
      <c r="AA6" s="20" t="s">
        <v>460</v>
      </c>
      <c r="AB6" s="20">
        <v>0</v>
      </c>
      <c r="AC6" s="20">
        <v>10</v>
      </c>
      <c r="AD6" s="21">
        <v>1.63</v>
      </c>
      <c r="AE6" s="20">
        <v>1</v>
      </c>
      <c r="AF6" s="20">
        <v>1</v>
      </c>
      <c r="AG6" s="20">
        <v>0</v>
      </c>
      <c r="AH6" s="21">
        <v>1.63</v>
      </c>
      <c r="AI6" s="20">
        <v>1</v>
      </c>
      <c r="AJ6" s="20">
        <v>4</v>
      </c>
    </row>
    <row r="7" spans="1:36" x14ac:dyDescent="0.25">
      <c r="A7" s="20" t="s">
        <v>92</v>
      </c>
      <c r="B7" s="20" t="s">
        <v>93</v>
      </c>
      <c r="C7" s="21" t="s">
        <v>492</v>
      </c>
      <c r="D7" s="20" t="s">
        <v>455</v>
      </c>
      <c r="E7" s="20" t="s">
        <v>518</v>
      </c>
      <c r="F7" s="20">
        <v>0.7</v>
      </c>
      <c r="G7" s="20">
        <v>6499.9999999999991</v>
      </c>
      <c r="H7" s="20">
        <v>0</v>
      </c>
      <c r="I7" s="20">
        <v>8000</v>
      </c>
      <c r="J7" s="20">
        <v>0</v>
      </c>
      <c r="K7" s="20">
        <v>8000</v>
      </c>
      <c r="L7" s="20">
        <v>0</v>
      </c>
      <c r="M7" s="20" t="s">
        <v>48</v>
      </c>
      <c r="N7" s="20">
        <v>0</v>
      </c>
      <c r="O7" s="20" t="s">
        <v>526</v>
      </c>
      <c r="P7" s="20" t="s">
        <v>507</v>
      </c>
      <c r="Q7" s="279" t="s">
        <v>1107</v>
      </c>
      <c r="R7" s="20">
        <v>2.9999999999999996</v>
      </c>
      <c r="S7" s="20">
        <v>2.5</v>
      </c>
      <c r="T7" s="20">
        <v>10</v>
      </c>
      <c r="U7" s="20">
        <v>9.25</v>
      </c>
      <c r="V7" s="20">
        <v>3</v>
      </c>
      <c r="W7" s="20" t="s">
        <v>508</v>
      </c>
      <c r="X7" s="20">
        <v>1</v>
      </c>
      <c r="Y7" s="20" t="s">
        <v>522</v>
      </c>
      <c r="Z7" s="20" t="s">
        <v>495</v>
      </c>
      <c r="AA7" s="20" t="s">
        <v>460</v>
      </c>
      <c r="AB7" s="20">
        <v>0</v>
      </c>
      <c r="AC7" s="20">
        <v>12</v>
      </c>
      <c r="AD7" s="21">
        <v>1.63</v>
      </c>
      <c r="AE7" s="20">
        <v>1</v>
      </c>
      <c r="AF7" s="20">
        <v>1</v>
      </c>
      <c r="AG7" s="20">
        <v>0</v>
      </c>
      <c r="AH7" s="21">
        <v>1.63</v>
      </c>
      <c r="AI7" s="20">
        <v>1</v>
      </c>
      <c r="AJ7" s="20">
        <v>4</v>
      </c>
    </row>
    <row r="8" spans="1:36" x14ac:dyDescent="0.25">
      <c r="A8" s="20" t="s">
        <v>92</v>
      </c>
      <c r="B8" s="20" t="s">
        <v>93</v>
      </c>
      <c r="C8" s="21" t="s">
        <v>492</v>
      </c>
      <c r="D8" s="20" t="s">
        <v>237</v>
      </c>
      <c r="E8" s="20" t="s">
        <v>456</v>
      </c>
      <c r="F8" s="20">
        <v>0.8</v>
      </c>
      <c r="G8" s="20">
        <v>7499.9999999999991</v>
      </c>
      <c r="H8" s="20">
        <v>0</v>
      </c>
      <c r="I8" s="20">
        <v>5000</v>
      </c>
      <c r="J8" s="20">
        <v>0</v>
      </c>
      <c r="K8" s="20">
        <v>5000</v>
      </c>
      <c r="L8" s="20">
        <v>0</v>
      </c>
      <c r="M8" s="20" t="s">
        <v>98</v>
      </c>
      <c r="N8" s="20">
        <v>1000</v>
      </c>
      <c r="O8" s="20" t="s">
        <v>527</v>
      </c>
      <c r="P8" s="20" t="s">
        <v>507</v>
      </c>
      <c r="Q8" s="279" t="s">
        <v>1106</v>
      </c>
      <c r="R8" s="20">
        <v>2</v>
      </c>
      <c r="S8" s="20">
        <v>1.4999999999999998</v>
      </c>
      <c r="T8" s="20">
        <v>11.999999999999998</v>
      </c>
      <c r="U8" s="20">
        <v>11.25</v>
      </c>
      <c r="V8" s="20">
        <v>2</v>
      </c>
      <c r="W8" s="20" t="s">
        <v>508</v>
      </c>
      <c r="X8" s="20">
        <v>0</v>
      </c>
      <c r="Y8" s="20" t="s">
        <v>459</v>
      </c>
      <c r="Z8" s="20" t="s">
        <v>524</v>
      </c>
      <c r="AA8" s="20" t="s">
        <v>460</v>
      </c>
      <c r="AB8" s="20">
        <v>0</v>
      </c>
      <c r="AC8" s="20">
        <v>12</v>
      </c>
      <c r="AD8" s="21">
        <v>1.63</v>
      </c>
      <c r="AE8" s="20">
        <v>1</v>
      </c>
      <c r="AF8" s="20">
        <v>0</v>
      </c>
      <c r="AG8" s="20">
        <v>12</v>
      </c>
      <c r="AH8" s="21">
        <v>1.63</v>
      </c>
      <c r="AI8" s="20">
        <v>1</v>
      </c>
      <c r="AJ8" s="20">
        <v>4</v>
      </c>
    </row>
    <row r="9" spans="1:36" x14ac:dyDescent="0.25">
      <c r="A9" s="20" t="s">
        <v>92</v>
      </c>
      <c r="B9" s="20" t="s">
        <v>93</v>
      </c>
      <c r="C9" s="21" t="s">
        <v>519</v>
      </c>
      <c r="D9" s="20" t="s">
        <v>455</v>
      </c>
      <c r="E9" s="20" t="s">
        <v>515</v>
      </c>
      <c r="F9" s="20">
        <v>0.7</v>
      </c>
      <c r="G9" s="20">
        <v>0</v>
      </c>
      <c r="H9" s="20">
        <v>1250</v>
      </c>
      <c r="I9" s="20">
        <v>0</v>
      </c>
      <c r="J9" s="20">
        <v>1000</v>
      </c>
      <c r="K9" s="20">
        <v>0</v>
      </c>
      <c r="L9" s="20">
        <v>1000</v>
      </c>
      <c r="M9" s="20" t="s">
        <v>48</v>
      </c>
      <c r="N9" s="20">
        <v>0</v>
      </c>
      <c r="O9" s="20" t="s">
        <v>528</v>
      </c>
      <c r="P9" s="20" t="s">
        <v>507</v>
      </c>
      <c r="Q9" s="279" t="s">
        <v>1106</v>
      </c>
      <c r="R9" s="20">
        <v>2</v>
      </c>
      <c r="S9" s="20">
        <v>1.4999999999999998</v>
      </c>
      <c r="T9" s="20">
        <v>4</v>
      </c>
      <c r="U9" s="20">
        <v>3.5</v>
      </c>
      <c r="V9" s="20">
        <v>2</v>
      </c>
      <c r="W9" s="20" t="s">
        <v>508</v>
      </c>
      <c r="X9" s="20">
        <v>0</v>
      </c>
      <c r="Y9" s="20" t="s">
        <v>522</v>
      </c>
      <c r="Z9" s="20" t="s">
        <v>495</v>
      </c>
      <c r="AA9" s="20" t="s">
        <v>460</v>
      </c>
      <c r="AB9" s="20">
        <v>1</v>
      </c>
      <c r="AC9" s="20">
        <v>15.5</v>
      </c>
      <c r="AD9" s="21">
        <v>1.63</v>
      </c>
      <c r="AE9" s="20">
        <v>1</v>
      </c>
      <c r="AF9" s="20">
        <v>0</v>
      </c>
      <c r="AG9" s="20">
        <v>8</v>
      </c>
      <c r="AH9" s="21">
        <v>1.63</v>
      </c>
      <c r="AI9" s="20">
        <v>1</v>
      </c>
      <c r="AJ9" s="20">
        <v>4</v>
      </c>
    </row>
    <row r="10" spans="1:36" x14ac:dyDescent="0.25">
      <c r="A10" s="20" t="s">
        <v>92</v>
      </c>
      <c r="B10" s="20" t="s">
        <v>93</v>
      </c>
      <c r="C10" s="21" t="s">
        <v>519</v>
      </c>
      <c r="D10" s="20" t="s">
        <v>237</v>
      </c>
      <c r="E10" s="20" t="s">
        <v>516</v>
      </c>
      <c r="F10" s="20">
        <v>0.8</v>
      </c>
      <c r="G10" s="20">
        <v>5500</v>
      </c>
      <c r="H10" s="20">
        <v>0</v>
      </c>
      <c r="I10" s="20">
        <v>3749.9999999999995</v>
      </c>
      <c r="J10" s="20">
        <v>0</v>
      </c>
      <c r="K10" s="20">
        <v>3749.9999999999995</v>
      </c>
      <c r="L10" s="20">
        <v>0</v>
      </c>
      <c r="M10" s="20" t="s">
        <v>94</v>
      </c>
      <c r="N10" s="20">
        <v>2500</v>
      </c>
      <c r="O10" s="20" t="s">
        <v>529</v>
      </c>
      <c r="P10" s="20" t="s">
        <v>507</v>
      </c>
      <c r="Q10" s="279" t="s">
        <v>1106</v>
      </c>
      <c r="R10" s="20">
        <v>2.9999999999999996</v>
      </c>
      <c r="S10" s="20">
        <v>2.4999999999999996</v>
      </c>
      <c r="T10" s="20">
        <v>8</v>
      </c>
      <c r="U10" s="20">
        <v>7.2499999999999991</v>
      </c>
      <c r="V10" s="20">
        <v>2</v>
      </c>
      <c r="W10" s="20" t="s">
        <v>508</v>
      </c>
      <c r="X10" s="20">
        <v>1</v>
      </c>
      <c r="Y10" s="20" t="s">
        <v>522</v>
      </c>
      <c r="Z10" s="20" t="s">
        <v>495</v>
      </c>
      <c r="AA10" s="20" t="s">
        <v>460</v>
      </c>
      <c r="AB10" s="20">
        <v>0</v>
      </c>
      <c r="AC10" s="20">
        <v>12</v>
      </c>
      <c r="AD10" s="21">
        <v>1.63</v>
      </c>
      <c r="AE10" s="20">
        <v>1</v>
      </c>
      <c r="AF10" s="20">
        <v>1</v>
      </c>
      <c r="AG10" s="20">
        <v>0</v>
      </c>
      <c r="AH10" s="21">
        <v>1.63</v>
      </c>
      <c r="AI10" s="20">
        <v>1</v>
      </c>
      <c r="AJ10" s="20">
        <v>4</v>
      </c>
    </row>
    <row r="11" spans="1:36" x14ac:dyDescent="0.25">
      <c r="A11" s="20" t="s">
        <v>92</v>
      </c>
      <c r="B11" s="20" t="s">
        <v>93</v>
      </c>
      <c r="C11" s="21" t="s">
        <v>520</v>
      </c>
      <c r="D11" s="20" t="s">
        <v>455</v>
      </c>
      <c r="E11" s="20" t="s">
        <v>517</v>
      </c>
      <c r="F11" s="20">
        <v>0.7</v>
      </c>
      <c r="G11" s="20">
        <v>2500</v>
      </c>
      <c r="H11" s="20">
        <v>0</v>
      </c>
      <c r="I11" s="20">
        <v>0</v>
      </c>
      <c r="J11" s="20">
        <v>0</v>
      </c>
      <c r="K11" s="20">
        <v>0</v>
      </c>
      <c r="L11" s="20">
        <v>0</v>
      </c>
      <c r="M11" s="20" t="s">
        <v>48</v>
      </c>
      <c r="N11" s="20">
        <v>0</v>
      </c>
      <c r="O11" s="20" t="s">
        <v>530</v>
      </c>
      <c r="P11" s="20" t="s">
        <v>507</v>
      </c>
      <c r="Q11" s="279" t="s">
        <v>1108</v>
      </c>
      <c r="R11" s="20">
        <v>2.9999999999999996</v>
      </c>
      <c r="S11" s="20">
        <v>2.4999999999999996</v>
      </c>
      <c r="T11" s="20">
        <v>8</v>
      </c>
      <c r="U11" s="20">
        <v>7.2499999999999991</v>
      </c>
      <c r="V11" s="20">
        <v>1</v>
      </c>
      <c r="W11" s="20" t="s">
        <v>508</v>
      </c>
      <c r="X11" s="20">
        <v>1</v>
      </c>
      <c r="Y11" s="20" t="s">
        <v>459</v>
      </c>
      <c r="Z11" s="20" t="s">
        <v>495</v>
      </c>
      <c r="AA11" s="20" t="s">
        <v>460</v>
      </c>
      <c r="AB11" s="20">
        <v>0</v>
      </c>
      <c r="AC11" s="20">
        <v>8</v>
      </c>
      <c r="AD11" s="21">
        <v>1.63</v>
      </c>
      <c r="AE11" s="20">
        <v>1</v>
      </c>
      <c r="AF11" s="20">
        <v>0</v>
      </c>
      <c r="AG11" s="20">
        <v>4</v>
      </c>
      <c r="AH11" s="21">
        <v>1.63</v>
      </c>
      <c r="AI11" s="20">
        <v>1</v>
      </c>
      <c r="AJ11" s="20">
        <v>4</v>
      </c>
    </row>
    <row r="12" spans="1:36" x14ac:dyDescent="0.25">
      <c r="A12" s="20" t="s">
        <v>92</v>
      </c>
      <c r="B12" s="20" t="s">
        <v>93</v>
      </c>
      <c r="C12" s="21" t="s">
        <v>520</v>
      </c>
      <c r="D12" s="20" t="s">
        <v>237</v>
      </c>
      <c r="E12" s="20" t="s">
        <v>518</v>
      </c>
      <c r="F12" s="20">
        <v>0.7</v>
      </c>
      <c r="G12" s="20">
        <v>0</v>
      </c>
      <c r="H12" s="20">
        <v>0</v>
      </c>
      <c r="I12" s="20">
        <v>0</v>
      </c>
      <c r="J12" s="20">
        <v>0</v>
      </c>
      <c r="K12" s="20">
        <v>0</v>
      </c>
      <c r="L12" s="20">
        <v>0</v>
      </c>
      <c r="M12" s="20" t="s">
        <v>94</v>
      </c>
      <c r="N12" s="20">
        <v>10000</v>
      </c>
      <c r="O12" s="20" t="s">
        <v>531</v>
      </c>
      <c r="P12" s="20" t="s">
        <v>507</v>
      </c>
      <c r="Q12" s="279" t="s">
        <v>1106</v>
      </c>
      <c r="R12" s="20">
        <v>2</v>
      </c>
      <c r="S12" s="20">
        <v>1.4999999999999998</v>
      </c>
      <c r="T12" s="20">
        <v>8</v>
      </c>
      <c r="U12" s="20">
        <v>7.2499999999999991</v>
      </c>
      <c r="V12" s="20">
        <v>2</v>
      </c>
      <c r="W12" s="20" t="s">
        <v>508</v>
      </c>
      <c r="X12" s="20">
        <v>0</v>
      </c>
      <c r="Y12" s="20" t="s">
        <v>459</v>
      </c>
      <c r="Z12" s="20" t="s">
        <v>524</v>
      </c>
      <c r="AA12" s="20" t="s">
        <v>460</v>
      </c>
      <c r="AB12" s="20">
        <v>1</v>
      </c>
      <c r="AC12" s="20">
        <v>12</v>
      </c>
      <c r="AD12" s="21">
        <v>1.63</v>
      </c>
      <c r="AE12" s="20">
        <v>1</v>
      </c>
      <c r="AF12" s="20">
        <v>0</v>
      </c>
      <c r="AG12" s="20">
        <v>6</v>
      </c>
      <c r="AH12" s="21">
        <v>1.63</v>
      </c>
      <c r="AI12" s="20">
        <v>1</v>
      </c>
      <c r="AJ12" s="20">
        <v>4</v>
      </c>
    </row>
    <row r="16" spans="1:36" x14ac:dyDescent="0.25">
      <c r="B16" s="4"/>
      <c r="C16" s="16"/>
      <c r="D16" s="4"/>
      <c r="F16" s="4"/>
    </row>
    <row r="17" spans="2:6" x14ac:dyDescent="0.25">
      <c r="B17" s="11"/>
      <c r="D17" s="11"/>
      <c r="F17" s="11"/>
    </row>
    <row r="20" spans="2:6" x14ac:dyDescent="0.25">
      <c r="B20" s="4"/>
      <c r="C20" s="16"/>
      <c r="D20" s="4"/>
      <c r="F20" s="4"/>
    </row>
  </sheetData>
  <pageMargins left="0.7" right="0.7" top="0.75" bottom="0.75" header="0.3" footer="0.3"/>
  <pageSetup paperSize="9" orientation="portrait" r:id="rId1"/>
  <ignoredErrors>
    <ignoredError sqref="C3:C4 C5:C6 C7:C12" numberStoredAsText="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2"/>
  <dimension ref="A1:Y12"/>
  <sheetViews>
    <sheetView workbookViewId="0">
      <selection activeCell="G26" sqref="G26"/>
    </sheetView>
  </sheetViews>
  <sheetFormatPr defaultRowHeight="15" x14ac:dyDescent="0.25"/>
  <cols>
    <col min="1" max="2" width="10.42578125" bestFit="1" customWidth="1"/>
    <col min="3" max="3" width="9.5703125" style="17" bestFit="1" customWidth="1"/>
    <col min="4" max="5" width="10.42578125" bestFit="1" customWidth="1"/>
    <col min="6" max="6" width="9.42578125" customWidth="1"/>
    <col min="7" max="7" width="15.42578125" bestFit="1" customWidth="1"/>
    <col min="8" max="8" width="14.7109375" bestFit="1" customWidth="1"/>
    <col min="9" max="9" width="10.5703125" bestFit="1" customWidth="1"/>
    <col min="10" max="10" width="15.42578125" bestFit="1" customWidth="1"/>
    <col min="11" max="11" width="14.7109375" bestFit="1" customWidth="1"/>
    <col min="12" max="12" width="10.5703125" bestFit="1" customWidth="1"/>
    <col min="13" max="14" width="10.42578125" bestFit="1" customWidth="1"/>
    <col min="15" max="15" width="10.28515625" bestFit="1" customWidth="1"/>
    <col min="16" max="17" width="10.42578125" bestFit="1" customWidth="1"/>
    <col min="18" max="18" width="10.28515625" bestFit="1" customWidth="1"/>
    <col min="19" max="20" width="10.42578125" bestFit="1" customWidth="1"/>
    <col min="21" max="21" width="10.5703125" bestFit="1" customWidth="1"/>
    <col min="22" max="23" width="10.42578125" bestFit="1" customWidth="1"/>
    <col min="24" max="24" width="10.5703125" bestFit="1" customWidth="1"/>
    <col min="25" max="25" width="11.28515625" bestFit="1" customWidth="1"/>
  </cols>
  <sheetData>
    <row r="1" spans="1:25" x14ac:dyDescent="0.25">
      <c r="A1" s="1" t="s">
        <v>461</v>
      </c>
      <c r="B1" s="1" t="s">
        <v>462</v>
      </c>
      <c r="C1" s="1" t="s">
        <v>463</v>
      </c>
      <c r="D1" s="1" t="s">
        <v>464</v>
      </c>
      <c r="E1" s="1" t="s">
        <v>465</v>
      </c>
      <c r="F1" s="1" t="s">
        <v>466</v>
      </c>
      <c r="G1" s="1" t="s">
        <v>467</v>
      </c>
      <c r="H1" s="1" t="s">
        <v>468</v>
      </c>
      <c r="I1" s="1" t="s">
        <v>469</v>
      </c>
      <c r="J1" s="1" t="s">
        <v>470</v>
      </c>
      <c r="K1" s="1" t="s">
        <v>471</v>
      </c>
      <c r="L1" s="1" t="s">
        <v>472</v>
      </c>
      <c r="M1" s="1" t="s">
        <v>473</v>
      </c>
      <c r="N1" s="1" t="s">
        <v>474</v>
      </c>
      <c r="O1" s="1" t="s">
        <v>475</v>
      </c>
      <c r="P1" s="1" t="s">
        <v>476</v>
      </c>
      <c r="Q1" s="1" t="s">
        <v>477</v>
      </c>
      <c r="R1" s="1" t="s">
        <v>478</v>
      </c>
      <c r="S1" s="1" t="s">
        <v>479</v>
      </c>
      <c r="T1" s="1" t="s">
        <v>480</v>
      </c>
      <c r="U1" s="1" t="s">
        <v>481</v>
      </c>
      <c r="V1" s="1" t="s">
        <v>482</v>
      </c>
      <c r="W1" s="1" t="s">
        <v>483</v>
      </c>
      <c r="X1" s="1" t="s">
        <v>484</v>
      </c>
      <c r="Y1" s="1" t="s">
        <v>485</v>
      </c>
    </row>
    <row r="2" spans="1:25" x14ac:dyDescent="0.25">
      <c r="A2" s="1" t="s">
        <v>486</v>
      </c>
      <c r="B2" s="1" t="s">
        <v>486</v>
      </c>
      <c r="C2" s="1"/>
      <c r="D2" s="1" t="s">
        <v>486</v>
      </c>
      <c r="E2" s="1" t="s">
        <v>486</v>
      </c>
      <c r="F2" s="1"/>
      <c r="G2" s="1" t="s">
        <v>486</v>
      </c>
      <c r="H2" s="1" t="s">
        <v>486</v>
      </c>
      <c r="I2" s="1"/>
      <c r="J2" s="1" t="s">
        <v>486</v>
      </c>
      <c r="K2" s="1" t="s">
        <v>486</v>
      </c>
      <c r="L2" s="1"/>
      <c r="M2" s="1" t="s">
        <v>486</v>
      </c>
      <c r="N2" s="1" t="s">
        <v>486</v>
      </c>
      <c r="O2" s="1"/>
      <c r="P2" s="1" t="s">
        <v>486</v>
      </c>
      <c r="Q2" s="1" t="s">
        <v>486</v>
      </c>
      <c r="R2" s="1"/>
      <c r="S2" s="1" t="s">
        <v>486</v>
      </c>
      <c r="T2" s="1" t="s">
        <v>486</v>
      </c>
      <c r="U2" s="1"/>
      <c r="V2" s="1" t="s">
        <v>486</v>
      </c>
      <c r="W2" s="1" t="s">
        <v>486</v>
      </c>
      <c r="X2" s="1"/>
      <c r="Y2" s="1"/>
    </row>
    <row r="3" spans="1:25" x14ac:dyDescent="0.25">
      <c r="A3" s="22"/>
      <c r="B3" s="22"/>
      <c r="C3" s="22"/>
      <c r="D3" s="22"/>
      <c r="E3" s="22"/>
      <c r="F3" s="22"/>
      <c r="G3" s="22"/>
      <c r="H3" s="22"/>
      <c r="I3" s="22"/>
      <c r="J3" s="22"/>
      <c r="K3" s="22"/>
      <c r="L3" s="22"/>
      <c r="M3" s="22"/>
      <c r="N3" s="22"/>
      <c r="O3" s="22"/>
      <c r="P3" s="22"/>
      <c r="Q3" s="22"/>
      <c r="R3" s="22"/>
      <c r="S3" s="22"/>
      <c r="T3" s="22"/>
      <c r="U3" s="22"/>
      <c r="V3" s="22"/>
      <c r="W3" s="22"/>
      <c r="X3" s="22"/>
      <c r="Y3" s="22"/>
    </row>
    <row r="4" spans="1:25" x14ac:dyDescent="0.25">
      <c r="A4" s="22"/>
      <c r="B4" s="22"/>
      <c r="C4" s="22"/>
      <c r="D4" s="22"/>
      <c r="E4" s="22"/>
      <c r="F4" s="22"/>
      <c r="G4" s="22"/>
      <c r="H4" s="22"/>
      <c r="I4" s="22"/>
      <c r="J4" s="22"/>
      <c r="K4" s="22"/>
      <c r="L4" s="22"/>
      <c r="M4" s="22"/>
      <c r="N4" s="22"/>
      <c r="O4" s="22"/>
      <c r="P4" s="22"/>
      <c r="Q4" s="22"/>
      <c r="R4" s="22"/>
      <c r="S4" s="22"/>
      <c r="T4" s="22"/>
      <c r="U4" s="22"/>
      <c r="V4" s="22"/>
      <c r="W4" s="22"/>
      <c r="X4" s="22"/>
      <c r="Y4" s="22"/>
    </row>
    <row r="5" spans="1:25" x14ac:dyDescent="0.25">
      <c r="A5" s="22"/>
      <c r="B5" s="22"/>
      <c r="C5" s="22"/>
      <c r="D5" s="22"/>
      <c r="E5" s="22"/>
      <c r="F5" s="22"/>
      <c r="G5" s="22"/>
      <c r="H5" s="22"/>
      <c r="I5" s="22"/>
      <c r="J5" s="22"/>
      <c r="K5" s="22"/>
      <c r="L5" s="22"/>
      <c r="M5" s="22"/>
      <c r="N5" s="22"/>
      <c r="O5" s="22"/>
      <c r="P5" s="22"/>
      <c r="Q5" s="22"/>
      <c r="R5" s="22"/>
      <c r="S5" s="22"/>
      <c r="T5" s="22"/>
      <c r="U5" s="22"/>
      <c r="V5" s="22"/>
      <c r="W5" s="22"/>
      <c r="X5" s="22"/>
      <c r="Y5" s="22"/>
    </row>
    <row r="6" spans="1:25" x14ac:dyDescent="0.25">
      <c r="A6" s="22"/>
      <c r="B6" s="22"/>
      <c r="C6" s="22"/>
      <c r="D6" s="22"/>
      <c r="E6" s="22"/>
      <c r="F6" s="22"/>
      <c r="G6" s="22"/>
      <c r="H6" s="22"/>
      <c r="I6" s="22"/>
      <c r="J6" s="22"/>
      <c r="K6" s="22"/>
      <c r="L6" s="22"/>
      <c r="M6" s="22"/>
      <c r="N6" s="22"/>
      <c r="O6" s="22"/>
      <c r="P6" s="22"/>
      <c r="Q6" s="22"/>
      <c r="R6" s="22"/>
      <c r="S6" s="22"/>
      <c r="T6" s="22"/>
      <c r="U6" s="22"/>
      <c r="V6" s="22"/>
      <c r="W6" s="22"/>
      <c r="X6" s="22"/>
      <c r="Y6" s="22"/>
    </row>
    <row r="7" spans="1:25" x14ac:dyDescent="0.25">
      <c r="A7" s="22"/>
      <c r="B7" s="22"/>
      <c r="C7" s="22"/>
      <c r="D7" s="22"/>
      <c r="E7" s="22"/>
      <c r="F7" s="22"/>
      <c r="G7" s="22"/>
      <c r="H7" s="22"/>
      <c r="I7" s="22"/>
      <c r="J7" s="22"/>
      <c r="K7" s="22"/>
      <c r="L7" s="22"/>
      <c r="M7" s="22"/>
      <c r="N7" s="22"/>
      <c r="O7" s="22"/>
      <c r="P7" s="22"/>
      <c r="Q7" s="22"/>
      <c r="R7" s="22"/>
      <c r="S7" s="22"/>
      <c r="T7" s="22"/>
      <c r="U7" s="22"/>
      <c r="V7" s="22"/>
      <c r="W7" s="22"/>
      <c r="X7" s="22"/>
      <c r="Y7" s="22"/>
    </row>
    <row r="8" spans="1:25" x14ac:dyDescent="0.25">
      <c r="A8" s="22"/>
      <c r="B8" s="22"/>
      <c r="C8" s="22"/>
      <c r="D8" s="22"/>
      <c r="E8" s="22"/>
      <c r="F8" s="22"/>
      <c r="G8" s="22"/>
      <c r="H8" s="22"/>
      <c r="I8" s="22"/>
      <c r="J8" s="22"/>
      <c r="K8" s="22"/>
      <c r="L8" s="22"/>
      <c r="M8" s="22"/>
      <c r="N8" s="22"/>
      <c r="O8" s="22"/>
      <c r="P8" s="22"/>
      <c r="Q8" s="22"/>
      <c r="R8" s="22"/>
      <c r="S8" s="22"/>
      <c r="T8" s="22"/>
      <c r="U8" s="22"/>
      <c r="V8" s="22"/>
      <c r="W8" s="22"/>
      <c r="X8" s="22"/>
      <c r="Y8" s="22"/>
    </row>
    <row r="9" spans="1:25" x14ac:dyDescent="0.25">
      <c r="A9" s="22"/>
      <c r="B9" s="22"/>
      <c r="C9" s="22"/>
      <c r="D9" s="22"/>
      <c r="E9" s="22"/>
      <c r="F9" s="22"/>
      <c r="G9" s="22"/>
      <c r="H9" s="22"/>
      <c r="I9" s="22"/>
      <c r="J9" s="22"/>
      <c r="K9" s="22"/>
      <c r="L9" s="22"/>
      <c r="M9" s="22"/>
      <c r="N9" s="22"/>
      <c r="O9" s="22"/>
      <c r="P9" s="22"/>
      <c r="Q9" s="22"/>
      <c r="R9" s="22"/>
      <c r="S9" s="22"/>
      <c r="T9" s="22"/>
      <c r="U9" s="22"/>
      <c r="V9" s="22"/>
      <c r="W9" s="22"/>
      <c r="X9" s="22"/>
      <c r="Y9" s="22"/>
    </row>
    <row r="10" spans="1:25" x14ac:dyDescent="0.25">
      <c r="A10" s="22"/>
      <c r="B10" s="22"/>
      <c r="C10" s="22"/>
      <c r="D10" s="22"/>
      <c r="E10" s="22"/>
      <c r="F10" s="22"/>
      <c r="G10" s="22"/>
      <c r="H10" s="22"/>
      <c r="I10" s="22"/>
      <c r="J10" s="22"/>
      <c r="K10" s="22"/>
      <c r="L10" s="22"/>
      <c r="M10" s="22"/>
      <c r="N10" s="22"/>
      <c r="O10" s="22"/>
      <c r="P10" s="22"/>
      <c r="Q10" s="22"/>
      <c r="R10" s="22"/>
      <c r="S10" s="22"/>
      <c r="T10" s="22"/>
      <c r="U10" s="22"/>
      <c r="V10" s="22"/>
      <c r="W10" s="22"/>
      <c r="X10" s="22"/>
      <c r="Y10" s="22"/>
    </row>
    <row r="11" spans="1:25" x14ac:dyDescent="0.25">
      <c r="A11" s="22"/>
      <c r="B11" s="22"/>
      <c r="C11" s="22"/>
      <c r="D11" s="22"/>
      <c r="E11" s="22"/>
      <c r="F11" s="22"/>
      <c r="G11" s="22"/>
      <c r="H11" s="22"/>
      <c r="I11" s="22"/>
      <c r="J11" s="22"/>
      <c r="K11" s="22"/>
      <c r="L11" s="22"/>
      <c r="M11" s="22"/>
      <c r="N11" s="22"/>
      <c r="O11" s="22"/>
      <c r="P11" s="22"/>
      <c r="Q11" s="22"/>
      <c r="R11" s="22"/>
      <c r="S11" s="22"/>
      <c r="T11" s="22"/>
      <c r="U11" s="22"/>
      <c r="V11" s="22"/>
      <c r="W11" s="22"/>
      <c r="X11" s="22"/>
      <c r="Y11" s="22"/>
    </row>
    <row r="12" spans="1:25" x14ac:dyDescent="0.25">
      <c r="A12" s="22"/>
      <c r="B12" s="22"/>
      <c r="C12" s="22"/>
      <c r="D12" s="22"/>
      <c r="E12" s="22"/>
      <c r="F12" s="22"/>
      <c r="G12" s="22"/>
      <c r="H12" s="22"/>
      <c r="I12" s="22"/>
      <c r="J12" s="22"/>
      <c r="K12" s="22"/>
      <c r="L12" s="22"/>
      <c r="M12" s="22"/>
      <c r="N12" s="22"/>
      <c r="O12" s="22"/>
      <c r="P12" s="22"/>
      <c r="Q12" s="22"/>
      <c r="R12" s="22"/>
      <c r="S12" s="22"/>
      <c r="T12" s="22"/>
      <c r="U12" s="22"/>
      <c r="V12" s="22"/>
      <c r="W12" s="22"/>
      <c r="X12" s="22"/>
      <c r="Y12" s="22"/>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BN10"/>
  <sheetViews>
    <sheetView workbookViewId="0">
      <selection activeCell="A3" sqref="A3"/>
    </sheetView>
  </sheetViews>
  <sheetFormatPr defaultRowHeight="15" x14ac:dyDescent="0.25"/>
  <cols>
    <col min="1" max="1" width="14.5703125" customWidth="1"/>
    <col min="2" max="2" width="15.42578125" customWidth="1"/>
    <col min="3" max="3" width="19.42578125" customWidth="1"/>
    <col min="4" max="4" width="22.42578125" customWidth="1"/>
    <col min="5" max="5" width="13.42578125" customWidth="1"/>
    <col min="12" max="12" width="14.85546875" customWidth="1"/>
    <col min="13" max="13" width="11.42578125" customWidth="1"/>
    <col min="14" max="14" width="10.42578125" customWidth="1"/>
    <col min="15" max="15" width="11" bestFit="1" customWidth="1"/>
    <col min="17" max="21" width="13.85546875" customWidth="1"/>
    <col min="22" max="22" width="10.85546875" customWidth="1"/>
    <col min="23" max="23" width="11.28515625" customWidth="1"/>
    <col min="24" max="24" width="10.7109375" customWidth="1"/>
    <col min="25" max="26" width="12.140625" customWidth="1"/>
    <col min="27" max="27" width="12.7109375" customWidth="1"/>
    <col min="28" max="28" width="10.28515625" customWidth="1"/>
    <col min="29" max="29" width="13.5703125" customWidth="1"/>
    <col min="30" max="32" width="11.5703125" customWidth="1"/>
    <col min="33" max="33" width="13.5703125" customWidth="1"/>
    <col min="34" max="34" width="12.42578125" customWidth="1"/>
    <col min="35" max="35" width="13.28515625" customWidth="1"/>
    <col min="36" max="36" width="11.85546875" customWidth="1"/>
    <col min="37" max="37" width="12.85546875" customWidth="1"/>
    <col min="38" max="38" width="11.85546875" customWidth="1"/>
    <col min="39" max="39" width="12.140625" customWidth="1"/>
    <col min="40" max="40" width="9" customWidth="1"/>
    <col min="41" max="43" width="8.7109375" customWidth="1"/>
    <col min="44" max="44" width="11.140625" customWidth="1"/>
    <col min="45" max="45" width="12.28515625" customWidth="1"/>
    <col min="46" max="47" width="9.7109375" customWidth="1"/>
    <col min="48" max="48" width="9" customWidth="1"/>
    <col min="49" max="49" width="8.7109375" customWidth="1"/>
    <col min="50" max="51" width="9.7109375" customWidth="1"/>
    <col min="52" max="52" width="9" customWidth="1"/>
    <col min="53" max="53" width="8.7109375" customWidth="1"/>
    <col min="65" max="66" width="35.42578125" customWidth="1"/>
  </cols>
  <sheetData>
    <row r="1" spans="1:66" x14ac:dyDescent="0.25">
      <c r="A1" s="265" t="s">
        <v>968</v>
      </c>
      <c r="B1" s="205" t="s">
        <v>969</v>
      </c>
      <c r="C1" s="205" t="s">
        <v>970</v>
      </c>
      <c r="D1" s="205" t="s">
        <v>971</v>
      </c>
      <c r="E1" s="205" t="s">
        <v>1102</v>
      </c>
      <c r="F1" s="205" t="s">
        <v>973</v>
      </c>
      <c r="G1" s="205" t="s">
        <v>974</v>
      </c>
      <c r="H1" s="205" t="s">
        <v>975</v>
      </c>
      <c r="I1" s="205" t="s">
        <v>976</v>
      </c>
      <c r="J1" s="205" t="s">
        <v>977</v>
      </c>
      <c r="K1" s="206" t="s">
        <v>978</v>
      </c>
      <c r="L1" s="207" t="s">
        <v>152</v>
      </c>
      <c r="M1" s="208" t="s">
        <v>920</v>
      </c>
      <c r="N1" s="209" t="s">
        <v>979</v>
      </c>
      <c r="O1" s="210" t="s">
        <v>1023</v>
      </c>
      <c r="P1" s="210" t="s">
        <v>1024</v>
      </c>
      <c r="Q1" s="211" t="s">
        <v>1025</v>
      </c>
      <c r="R1" s="212" t="s">
        <v>993</v>
      </c>
      <c r="S1" s="212" t="s">
        <v>1026</v>
      </c>
      <c r="T1" s="212" t="s">
        <v>995</v>
      </c>
      <c r="U1" s="213" t="s">
        <v>1027</v>
      </c>
      <c r="V1" s="212" t="s">
        <v>1028</v>
      </c>
      <c r="W1" s="212" t="s">
        <v>1029</v>
      </c>
      <c r="X1" s="212" t="s">
        <v>1030</v>
      </c>
      <c r="Y1" s="213" t="s">
        <v>1031</v>
      </c>
      <c r="Z1" s="207" t="s">
        <v>1032</v>
      </c>
      <c r="AA1" s="208" t="s">
        <v>1033</v>
      </c>
      <c r="AB1" s="205" t="s">
        <v>980</v>
      </c>
      <c r="AC1" s="205" t="s">
        <v>981</v>
      </c>
      <c r="AD1" s="205" t="s">
        <v>1020</v>
      </c>
      <c r="AE1" s="214" t="s">
        <v>1021</v>
      </c>
      <c r="AF1" s="214" t="s">
        <v>1034</v>
      </c>
      <c r="AG1" s="214" t="s">
        <v>1035</v>
      </c>
      <c r="AH1" s="207" t="s">
        <v>1036</v>
      </c>
      <c r="AI1" s="215" t="s">
        <v>1037</v>
      </c>
      <c r="AJ1" s="208" t="s">
        <v>1038</v>
      </c>
      <c r="AK1" s="212" t="s">
        <v>1039</v>
      </c>
      <c r="AL1" s="212" t="s">
        <v>1040</v>
      </c>
      <c r="AM1" s="213" t="s">
        <v>1041</v>
      </c>
      <c r="AN1" s="207" t="s">
        <v>1042</v>
      </c>
      <c r="AO1" s="215" t="s">
        <v>1043</v>
      </c>
      <c r="AP1" s="215" t="s">
        <v>1044</v>
      </c>
      <c r="AQ1" s="208" t="s">
        <v>1045</v>
      </c>
      <c r="AR1" s="207" t="s">
        <v>1046</v>
      </c>
      <c r="AS1" s="208" t="s">
        <v>1047</v>
      </c>
      <c r="AT1" s="207" t="s">
        <v>1048</v>
      </c>
      <c r="AU1" s="215" t="s">
        <v>1049</v>
      </c>
      <c r="AV1" s="215" t="s">
        <v>1050</v>
      </c>
      <c r="AW1" s="208" t="s">
        <v>1051</v>
      </c>
      <c r="AX1" s="207" t="s">
        <v>1052</v>
      </c>
      <c r="AY1" s="215" t="s">
        <v>1053</v>
      </c>
      <c r="AZ1" s="215" t="s">
        <v>1054</v>
      </c>
      <c r="BA1" s="208" t="s">
        <v>1055</v>
      </c>
      <c r="BB1" s="207" t="s">
        <v>1056</v>
      </c>
      <c r="BC1" s="215" t="s">
        <v>1057</v>
      </c>
      <c r="BD1" s="215" t="s">
        <v>1058</v>
      </c>
      <c r="BE1" s="208" t="s">
        <v>1059</v>
      </c>
      <c r="BF1" s="207" t="s">
        <v>1060</v>
      </c>
      <c r="BG1" s="215" t="s">
        <v>1061</v>
      </c>
      <c r="BH1" s="215" t="s">
        <v>1062</v>
      </c>
      <c r="BI1" s="208" t="s">
        <v>1063</v>
      </c>
      <c r="BJ1" s="207" t="s">
        <v>1064</v>
      </c>
      <c r="BK1" s="215" t="s">
        <v>1065</v>
      </c>
      <c r="BL1" s="208" t="s">
        <v>1066</v>
      </c>
      <c r="BM1" s="216" t="s">
        <v>1067</v>
      </c>
      <c r="BN1" s="216" t="s">
        <v>1068</v>
      </c>
    </row>
    <row r="2" spans="1:66" x14ac:dyDescent="0.25">
      <c r="A2" s="266"/>
      <c r="B2" s="205"/>
      <c r="C2" s="205"/>
      <c r="D2" s="205"/>
      <c r="E2" s="205"/>
      <c r="F2" s="205" t="s">
        <v>0</v>
      </c>
      <c r="G2" s="205" t="s">
        <v>0</v>
      </c>
      <c r="H2" s="205"/>
      <c r="I2" s="205" t="s">
        <v>0</v>
      </c>
      <c r="J2" s="205" t="s">
        <v>0</v>
      </c>
      <c r="K2" s="206" t="s">
        <v>0</v>
      </c>
      <c r="L2" s="217"/>
      <c r="M2" s="213" t="s">
        <v>91</v>
      </c>
      <c r="N2" s="218" t="s">
        <v>0</v>
      </c>
      <c r="O2" s="219" t="s">
        <v>1069</v>
      </c>
      <c r="P2" s="219" t="s">
        <v>0</v>
      </c>
      <c r="Q2" s="206" t="s">
        <v>1069</v>
      </c>
      <c r="R2" s="212"/>
      <c r="S2" s="212" t="s">
        <v>0</v>
      </c>
      <c r="T2" s="212"/>
      <c r="U2" s="213" t="s">
        <v>0</v>
      </c>
      <c r="V2" s="212"/>
      <c r="W2" s="212" t="s">
        <v>0</v>
      </c>
      <c r="X2" s="212"/>
      <c r="Y2" s="213" t="s">
        <v>0</v>
      </c>
      <c r="Z2" s="217" t="s">
        <v>0</v>
      </c>
      <c r="AA2" s="213" t="s">
        <v>0</v>
      </c>
      <c r="AB2" s="205"/>
      <c r="AC2" s="205"/>
      <c r="AD2" s="205"/>
      <c r="AE2" s="212" t="s">
        <v>0</v>
      </c>
      <c r="AF2" s="212" t="s">
        <v>0</v>
      </c>
      <c r="AG2" s="212" t="s">
        <v>0</v>
      </c>
      <c r="AH2" s="217" t="s">
        <v>21</v>
      </c>
      <c r="AI2" s="220" t="s">
        <v>21</v>
      </c>
      <c r="AJ2" s="213" t="s">
        <v>21</v>
      </c>
      <c r="AK2" s="212" t="s">
        <v>21</v>
      </c>
      <c r="AL2" s="212" t="s">
        <v>21</v>
      </c>
      <c r="AM2" s="213" t="s">
        <v>21</v>
      </c>
      <c r="AN2" s="217" t="s">
        <v>21</v>
      </c>
      <c r="AO2" s="220" t="s">
        <v>21</v>
      </c>
      <c r="AP2" s="220" t="s">
        <v>21</v>
      </c>
      <c r="AQ2" s="213" t="s">
        <v>21</v>
      </c>
      <c r="AR2" s="217" t="s">
        <v>595</v>
      </c>
      <c r="AS2" s="213" t="s">
        <v>595</v>
      </c>
      <c r="AT2" s="217" t="s">
        <v>21</v>
      </c>
      <c r="AU2" s="220" t="s">
        <v>21</v>
      </c>
      <c r="AV2" s="220" t="s">
        <v>21</v>
      </c>
      <c r="AW2" s="213" t="s">
        <v>21</v>
      </c>
      <c r="AX2" s="217" t="s">
        <v>21</v>
      </c>
      <c r="AY2" s="220" t="s">
        <v>21</v>
      </c>
      <c r="AZ2" s="220" t="s">
        <v>21</v>
      </c>
      <c r="BA2" s="213" t="s">
        <v>21</v>
      </c>
      <c r="BB2" s="217" t="s">
        <v>90</v>
      </c>
      <c r="BC2" s="220" t="s">
        <v>90</v>
      </c>
      <c r="BD2" s="220" t="s">
        <v>90</v>
      </c>
      <c r="BE2" s="213" t="s">
        <v>90</v>
      </c>
      <c r="BF2" s="217" t="s">
        <v>90</v>
      </c>
      <c r="BG2" s="220" t="s">
        <v>90</v>
      </c>
      <c r="BH2" s="220" t="s">
        <v>90</v>
      </c>
      <c r="BI2" s="213" t="s">
        <v>90</v>
      </c>
      <c r="BJ2" s="217"/>
      <c r="BK2" s="220"/>
      <c r="BL2" s="213"/>
      <c r="BM2" s="221"/>
      <c r="BN2" s="221"/>
    </row>
    <row r="3" spans="1:66" x14ac:dyDescent="0.25">
      <c r="A3" s="227" t="s">
        <v>1070</v>
      </c>
      <c r="B3" s="222" t="s">
        <v>999</v>
      </c>
      <c r="C3" s="267" t="s">
        <v>212</v>
      </c>
      <c r="D3" s="267" t="s">
        <v>1103</v>
      </c>
      <c r="E3" s="267" t="s">
        <v>1001</v>
      </c>
      <c r="F3" s="222">
        <v>400</v>
      </c>
      <c r="G3" s="222">
        <v>420</v>
      </c>
      <c r="H3" s="222">
        <v>0</v>
      </c>
      <c r="I3" s="222">
        <v>0</v>
      </c>
      <c r="J3" s="222">
        <v>0</v>
      </c>
      <c r="K3" s="223">
        <v>0</v>
      </c>
      <c r="L3" s="224" t="s">
        <v>776</v>
      </c>
      <c r="M3" s="223">
        <v>500</v>
      </c>
      <c r="N3" s="225">
        <v>900</v>
      </c>
      <c r="O3" s="226">
        <v>25</v>
      </c>
      <c r="P3" s="226">
        <v>0</v>
      </c>
      <c r="Q3" s="223">
        <v>12</v>
      </c>
      <c r="R3" s="222">
        <v>10</v>
      </c>
      <c r="S3" s="222">
        <v>20</v>
      </c>
      <c r="T3" s="222">
        <v>10</v>
      </c>
      <c r="U3" s="223">
        <v>20</v>
      </c>
      <c r="V3" s="222">
        <v>12</v>
      </c>
      <c r="W3" s="222">
        <v>16</v>
      </c>
      <c r="X3" s="222">
        <v>10</v>
      </c>
      <c r="Y3" s="223">
        <v>20</v>
      </c>
      <c r="Z3" s="225">
        <v>75</v>
      </c>
      <c r="AA3" s="223">
        <v>75</v>
      </c>
      <c r="AB3" s="222">
        <v>4</v>
      </c>
      <c r="AC3" s="222" t="s">
        <v>1022</v>
      </c>
      <c r="AD3" s="222" t="s">
        <v>692</v>
      </c>
      <c r="AE3" s="222">
        <v>400</v>
      </c>
      <c r="AF3" s="222">
        <v>100</v>
      </c>
      <c r="AG3" s="222">
        <v>75</v>
      </c>
      <c r="AH3" s="225">
        <v>1350</v>
      </c>
      <c r="AI3" s="226">
        <v>250</v>
      </c>
      <c r="AJ3" s="223">
        <v>100</v>
      </c>
      <c r="AK3" s="222">
        <v>1000</v>
      </c>
      <c r="AL3" s="222">
        <v>200</v>
      </c>
      <c r="AM3" s="223">
        <v>75</v>
      </c>
      <c r="AN3" s="225">
        <v>600</v>
      </c>
      <c r="AO3" s="226">
        <v>0</v>
      </c>
      <c r="AP3" s="226">
        <v>0</v>
      </c>
      <c r="AQ3" s="223">
        <v>0</v>
      </c>
      <c r="AR3" s="225">
        <v>5</v>
      </c>
      <c r="AS3" s="223">
        <v>10</v>
      </c>
      <c r="AT3" s="225">
        <v>0</v>
      </c>
      <c r="AU3" s="226">
        <v>0</v>
      </c>
      <c r="AV3" s="226">
        <v>0</v>
      </c>
      <c r="AW3" s="223">
        <v>0</v>
      </c>
      <c r="AX3" s="225">
        <v>0</v>
      </c>
      <c r="AY3" s="226">
        <v>0</v>
      </c>
      <c r="AZ3" s="226">
        <v>0</v>
      </c>
      <c r="BA3" s="223">
        <v>0</v>
      </c>
      <c r="BB3" s="225">
        <v>0</v>
      </c>
      <c r="BC3" s="226">
        <v>0</v>
      </c>
      <c r="BD3" s="226">
        <v>0</v>
      </c>
      <c r="BE3" s="223">
        <v>0</v>
      </c>
      <c r="BF3" s="225">
        <v>0</v>
      </c>
      <c r="BG3" s="226">
        <v>0</v>
      </c>
      <c r="BH3" s="226">
        <v>0</v>
      </c>
      <c r="BI3" s="223">
        <v>0</v>
      </c>
      <c r="BJ3" s="225">
        <v>0.7</v>
      </c>
      <c r="BK3" s="226">
        <v>0.5</v>
      </c>
      <c r="BL3" s="223">
        <v>0.5</v>
      </c>
      <c r="BM3" s="227">
        <v>0</v>
      </c>
      <c r="BN3" s="227">
        <v>0</v>
      </c>
    </row>
    <row r="4" spans="1:66" x14ac:dyDescent="0.25">
      <c r="A4" s="227" t="s">
        <v>1071</v>
      </c>
      <c r="B4" s="222" t="s">
        <v>999</v>
      </c>
      <c r="C4" s="267" t="s">
        <v>394</v>
      </c>
      <c r="D4" s="267" t="s">
        <v>1103</v>
      </c>
      <c r="E4" s="267" t="s">
        <v>1001</v>
      </c>
      <c r="F4" s="222">
        <v>350</v>
      </c>
      <c r="G4" s="222">
        <v>350</v>
      </c>
      <c r="H4" s="222">
        <v>1</v>
      </c>
      <c r="I4" s="222">
        <v>150</v>
      </c>
      <c r="J4" s="222">
        <v>500</v>
      </c>
      <c r="K4" s="223">
        <v>500</v>
      </c>
      <c r="L4" s="224" t="s">
        <v>689</v>
      </c>
      <c r="M4" s="223">
        <v>500</v>
      </c>
      <c r="N4" s="225">
        <v>900</v>
      </c>
      <c r="O4" s="226">
        <v>25</v>
      </c>
      <c r="P4" s="226">
        <v>0</v>
      </c>
      <c r="Q4" s="223">
        <v>12</v>
      </c>
      <c r="R4" s="222">
        <v>12</v>
      </c>
      <c r="S4" s="222">
        <v>20</v>
      </c>
      <c r="T4" s="222">
        <v>10</v>
      </c>
      <c r="U4" s="223">
        <v>20</v>
      </c>
      <c r="V4" s="222"/>
      <c r="W4" s="222"/>
      <c r="X4" s="222"/>
      <c r="Y4" s="223"/>
      <c r="Z4" s="225">
        <v>75</v>
      </c>
      <c r="AA4" s="223">
        <v>75</v>
      </c>
      <c r="AB4" s="222">
        <v>5</v>
      </c>
      <c r="AC4" s="222" t="s">
        <v>1022</v>
      </c>
      <c r="AD4" s="222" t="s">
        <v>1072</v>
      </c>
      <c r="AE4" s="222">
        <v>350</v>
      </c>
      <c r="AF4" s="222">
        <v>100</v>
      </c>
      <c r="AG4" s="222">
        <v>75</v>
      </c>
      <c r="AH4" s="225">
        <v>1350</v>
      </c>
      <c r="AI4" s="226">
        <v>250</v>
      </c>
      <c r="AJ4" s="223">
        <v>100</v>
      </c>
      <c r="AK4" s="222">
        <v>1000</v>
      </c>
      <c r="AL4" s="222">
        <v>200</v>
      </c>
      <c r="AM4" s="223">
        <v>75</v>
      </c>
      <c r="AN4" s="225">
        <v>1000</v>
      </c>
      <c r="AO4" s="226">
        <v>350</v>
      </c>
      <c r="AP4" s="226">
        <v>0</v>
      </c>
      <c r="AQ4" s="223">
        <v>0</v>
      </c>
      <c r="AR4" s="225">
        <v>5</v>
      </c>
      <c r="AS4" s="223">
        <v>10</v>
      </c>
      <c r="AT4" s="225">
        <v>0</v>
      </c>
      <c r="AU4" s="226">
        <v>0</v>
      </c>
      <c r="AV4" s="226">
        <v>0</v>
      </c>
      <c r="AW4" s="223">
        <v>0</v>
      </c>
      <c r="AX4" s="225">
        <v>0</v>
      </c>
      <c r="AY4" s="226">
        <v>0</v>
      </c>
      <c r="AZ4" s="226">
        <v>0</v>
      </c>
      <c r="BA4" s="223">
        <v>0</v>
      </c>
      <c r="BB4" s="225">
        <v>0</v>
      </c>
      <c r="BC4" s="226">
        <v>0</v>
      </c>
      <c r="BD4" s="226">
        <v>0</v>
      </c>
      <c r="BE4" s="223">
        <v>0</v>
      </c>
      <c r="BF4" s="225">
        <v>0</v>
      </c>
      <c r="BG4" s="226">
        <v>0</v>
      </c>
      <c r="BH4" s="226">
        <v>0</v>
      </c>
      <c r="BI4" s="223">
        <v>0</v>
      </c>
      <c r="BJ4" s="225">
        <v>0.7</v>
      </c>
      <c r="BK4" s="226">
        <v>0.5</v>
      </c>
      <c r="BL4" s="223">
        <v>0.5</v>
      </c>
      <c r="BM4" s="227">
        <v>0</v>
      </c>
      <c r="BN4" s="227">
        <v>0</v>
      </c>
    </row>
    <row r="5" spans="1:66" x14ac:dyDescent="0.25">
      <c r="A5" s="227" t="s">
        <v>1073</v>
      </c>
      <c r="B5" s="222" t="s">
        <v>999</v>
      </c>
      <c r="C5" s="267" t="s">
        <v>212</v>
      </c>
      <c r="D5" s="267" t="s">
        <v>1104</v>
      </c>
      <c r="E5" s="267" t="s">
        <v>1001</v>
      </c>
      <c r="F5" s="222">
        <v>350</v>
      </c>
      <c r="G5" s="222">
        <v>360</v>
      </c>
      <c r="H5" s="222">
        <v>0</v>
      </c>
      <c r="I5" s="222">
        <v>0</v>
      </c>
      <c r="J5" s="222">
        <v>0</v>
      </c>
      <c r="K5" s="223">
        <v>0</v>
      </c>
      <c r="L5" s="224" t="s">
        <v>689</v>
      </c>
      <c r="M5" s="223">
        <v>500</v>
      </c>
      <c r="N5" s="225">
        <v>900</v>
      </c>
      <c r="O5" s="226">
        <v>25</v>
      </c>
      <c r="P5" s="226">
        <v>0</v>
      </c>
      <c r="Q5" s="223">
        <v>12</v>
      </c>
      <c r="R5" s="222">
        <v>15</v>
      </c>
      <c r="S5" s="222">
        <v>20</v>
      </c>
      <c r="T5" s="222">
        <v>12</v>
      </c>
      <c r="U5" s="223">
        <v>20</v>
      </c>
      <c r="V5" s="222">
        <v>12</v>
      </c>
      <c r="W5" s="222">
        <v>20</v>
      </c>
      <c r="X5" s="222">
        <v>10</v>
      </c>
      <c r="Y5" s="223">
        <v>20</v>
      </c>
      <c r="Z5" s="225">
        <v>75</v>
      </c>
      <c r="AA5" s="223">
        <v>75</v>
      </c>
      <c r="AB5" s="222">
        <v>6</v>
      </c>
      <c r="AC5" s="222" t="s">
        <v>1022</v>
      </c>
      <c r="AD5" s="222" t="s">
        <v>692</v>
      </c>
      <c r="AE5" s="222">
        <v>350</v>
      </c>
      <c r="AF5" s="222">
        <v>100</v>
      </c>
      <c r="AG5" s="222">
        <v>75</v>
      </c>
      <c r="AH5" s="225">
        <v>1350</v>
      </c>
      <c r="AI5" s="226">
        <v>250</v>
      </c>
      <c r="AJ5" s="223">
        <v>100</v>
      </c>
      <c r="AK5" s="222">
        <v>1000</v>
      </c>
      <c r="AL5" s="222">
        <v>200</v>
      </c>
      <c r="AM5" s="223">
        <v>75</v>
      </c>
      <c r="AN5" s="225">
        <v>1000</v>
      </c>
      <c r="AO5" s="226">
        <v>350</v>
      </c>
      <c r="AP5" s="226">
        <v>0</v>
      </c>
      <c r="AQ5" s="223">
        <v>0</v>
      </c>
      <c r="AR5" s="225">
        <v>5</v>
      </c>
      <c r="AS5" s="223">
        <v>10</v>
      </c>
      <c r="AT5" s="225">
        <v>0</v>
      </c>
      <c r="AU5" s="226">
        <v>0</v>
      </c>
      <c r="AV5" s="226">
        <v>0</v>
      </c>
      <c r="AW5" s="223">
        <v>0</v>
      </c>
      <c r="AX5" s="225">
        <v>0</v>
      </c>
      <c r="AY5" s="226">
        <v>0</v>
      </c>
      <c r="AZ5" s="226">
        <v>0</v>
      </c>
      <c r="BA5" s="223">
        <v>0</v>
      </c>
      <c r="BB5" s="225">
        <v>0</v>
      </c>
      <c r="BC5" s="226">
        <v>0</v>
      </c>
      <c r="BD5" s="226">
        <v>0</v>
      </c>
      <c r="BE5" s="223">
        <v>0</v>
      </c>
      <c r="BF5" s="225">
        <v>0</v>
      </c>
      <c r="BG5" s="226">
        <v>0</v>
      </c>
      <c r="BH5" s="226">
        <v>0</v>
      </c>
      <c r="BI5" s="223">
        <v>0</v>
      </c>
      <c r="BJ5" s="225">
        <v>0.7</v>
      </c>
      <c r="BK5" s="226">
        <v>0.5</v>
      </c>
      <c r="BL5" s="223">
        <v>0.5</v>
      </c>
      <c r="BM5" s="227">
        <v>0</v>
      </c>
      <c r="BN5" s="227">
        <v>0</v>
      </c>
    </row>
    <row r="6" spans="1:66" x14ac:dyDescent="0.25">
      <c r="A6" s="227"/>
      <c r="B6" s="222"/>
      <c r="C6" s="267"/>
      <c r="D6" s="267"/>
      <c r="E6" s="267"/>
      <c r="F6" s="222"/>
      <c r="G6" s="222"/>
      <c r="H6" s="222"/>
      <c r="I6" s="222"/>
      <c r="J6" s="222"/>
      <c r="K6" s="223"/>
      <c r="L6" s="224"/>
      <c r="M6" s="223"/>
      <c r="N6" s="225"/>
      <c r="O6" s="226"/>
      <c r="P6" s="226"/>
      <c r="Q6" s="223"/>
      <c r="R6" s="222"/>
      <c r="S6" s="222"/>
      <c r="T6" s="222"/>
      <c r="U6" s="223"/>
      <c r="V6" s="222"/>
      <c r="W6" s="222"/>
      <c r="X6" s="222"/>
      <c r="Y6" s="223"/>
      <c r="Z6" s="228"/>
      <c r="AA6" s="223"/>
      <c r="AB6" s="222"/>
      <c r="AC6" s="222"/>
      <c r="AD6" s="222"/>
      <c r="AE6" s="222"/>
      <c r="AF6" s="222"/>
      <c r="AG6" s="222"/>
      <c r="AH6" s="225"/>
      <c r="AI6" s="226"/>
      <c r="AJ6" s="223"/>
      <c r="AK6" s="222"/>
      <c r="AL6" s="222"/>
      <c r="AM6" s="223"/>
      <c r="AN6" s="225"/>
      <c r="AO6" s="226"/>
      <c r="AP6" s="226"/>
      <c r="AQ6" s="223"/>
      <c r="AR6" s="225"/>
      <c r="AS6" s="223"/>
      <c r="AT6" s="225"/>
      <c r="AU6" s="226"/>
      <c r="AV6" s="226"/>
      <c r="AW6" s="223"/>
      <c r="AX6" s="225"/>
      <c r="AY6" s="226"/>
      <c r="AZ6" s="226"/>
      <c r="BA6" s="223"/>
      <c r="BB6" s="225"/>
      <c r="BC6" s="226"/>
      <c r="BD6" s="226"/>
      <c r="BE6" s="223"/>
      <c r="BF6" s="225"/>
      <c r="BG6" s="226"/>
      <c r="BH6" s="226"/>
      <c r="BI6" s="223"/>
      <c r="BJ6" s="225"/>
      <c r="BK6" s="226"/>
      <c r="BL6" s="223"/>
      <c r="BM6" s="227"/>
      <c r="BN6" s="227"/>
    </row>
    <row r="7" spans="1:66" x14ac:dyDescent="0.25">
      <c r="A7" s="234"/>
      <c r="B7" s="229"/>
      <c r="C7" s="267"/>
      <c r="D7" s="267"/>
      <c r="E7" s="267"/>
      <c r="F7" s="229"/>
      <c r="G7" s="229"/>
      <c r="H7" s="229"/>
      <c r="I7" s="229"/>
      <c r="J7" s="229"/>
      <c r="K7" s="230"/>
      <c r="L7" s="224"/>
      <c r="M7" s="231"/>
      <c r="N7" s="228"/>
      <c r="O7" s="232"/>
      <c r="P7" s="232"/>
      <c r="Q7" s="231"/>
      <c r="R7" s="229"/>
      <c r="S7" s="229"/>
      <c r="T7" s="229"/>
      <c r="U7" s="230"/>
      <c r="V7" s="222"/>
      <c r="W7" s="222"/>
      <c r="X7" s="222"/>
      <c r="Y7" s="223"/>
      <c r="Z7" s="228"/>
      <c r="AA7" s="223"/>
      <c r="AB7" s="229"/>
      <c r="AC7" s="229"/>
      <c r="AD7" s="229"/>
      <c r="AE7" s="229"/>
      <c r="AF7" s="229"/>
      <c r="AG7" s="229"/>
      <c r="AH7" s="228"/>
      <c r="AI7" s="232"/>
      <c r="AJ7" s="231"/>
      <c r="AK7" s="229"/>
      <c r="AL7" s="229"/>
      <c r="AM7" s="230"/>
      <c r="AN7" s="228"/>
      <c r="AO7" s="232"/>
      <c r="AP7" s="232"/>
      <c r="AQ7" s="231"/>
      <c r="AR7" s="233"/>
      <c r="AS7" s="230"/>
      <c r="AT7" s="228"/>
      <c r="AU7" s="232"/>
      <c r="AV7" s="232"/>
      <c r="AW7" s="231"/>
      <c r="AX7" s="228"/>
      <c r="AY7" s="232"/>
      <c r="AZ7" s="232"/>
      <c r="BA7" s="231"/>
      <c r="BB7" s="228"/>
      <c r="BC7" s="232"/>
      <c r="BD7" s="232"/>
      <c r="BE7" s="231"/>
      <c r="BF7" s="228"/>
      <c r="BG7" s="232"/>
      <c r="BH7" s="232"/>
      <c r="BI7" s="231"/>
      <c r="BJ7" s="228"/>
      <c r="BK7" s="232"/>
      <c r="BL7" s="231"/>
      <c r="BM7" s="234"/>
      <c r="BN7" s="234"/>
    </row>
    <row r="8" spans="1:66" x14ac:dyDescent="0.25">
      <c r="A8" s="235" t="s">
        <v>1074</v>
      </c>
      <c r="B8" s="236" t="s">
        <v>1008</v>
      </c>
      <c r="C8" s="236"/>
      <c r="D8" s="236"/>
      <c r="E8" s="236"/>
      <c r="F8" s="236"/>
      <c r="G8" s="236"/>
      <c r="H8" s="236"/>
      <c r="I8" s="236"/>
      <c r="J8" s="236"/>
      <c r="K8" s="237"/>
      <c r="L8" s="235" t="s">
        <v>1075</v>
      </c>
      <c r="M8" s="237"/>
      <c r="N8" s="238" t="s">
        <v>1076</v>
      </c>
      <c r="O8" s="239"/>
      <c r="P8" s="239"/>
      <c r="Q8" s="240"/>
      <c r="R8" s="236" t="s">
        <v>1077</v>
      </c>
      <c r="S8" s="236"/>
      <c r="T8" s="236"/>
      <c r="U8" s="237"/>
      <c r="V8" s="236" t="s">
        <v>1078</v>
      </c>
      <c r="W8" s="236"/>
      <c r="X8" s="236"/>
      <c r="Y8" s="237"/>
      <c r="Z8" s="235" t="s">
        <v>1079</v>
      </c>
      <c r="AA8" s="237"/>
      <c r="AB8" s="236" t="s">
        <v>1009</v>
      </c>
      <c r="AC8" s="236"/>
      <c r="AD8" s="236"/>
      <c r="AE8" s="236"/>
      <c r="AF8" s="236"/>
      <c r="AG8" s="236"/>
      <c r="AH8" s="235" t="s">
        <v>1080</v>
      </c>
      <c r="AI8" s="236"/>
      <c r="AJ8" s="237"/>
      <c r="AK8" s="235" t="s">
        <v>1081</v>
      </c>
      <c r="AL8" s="236"/>
      <c r="AM8" s="237"/>
      <c r="AN8" s="235" t="s">
        <v>1082</v>
      </c>
      <c r="AO8" s="236"/>
      <c r="AP8" s="236"/>
      <c r="AQ8" s="237"/>
      <c r="AR8" s="235" t="s">
        <v>1083</v>
      </c>
      <c r="AS8" s="237"/>
      <c r="AT8" s="235" t="s">
        <v>1084</v>
      </c>
      <c r="AU8" s="236"/>
      <c r="AV8" s="236"/>
      <c r="AW8" s="237"/>
      <c r="AX8" s="235" t="s">
        <v>1085</v>
      </c>
      <c r="AY8" s="236"/>
      <c r="AZ8" s="236"/>
      <c r="BA8" s="237"/>
      <c r="BB8" s="235" t="s">
        <v>1086</v>
      </c>
      <c r="BC8" s="236"/>
      <c r="BD8" s="236"/>
      <c r="BE8" s="237"/>
      <c r="BF8" s="235" t="s">
        <v>1087</v>
      </c>
      <c r="BG8" s="236"/>
      <c r="BH8" s="236"/>
      <c r="BI8" s="237"/>
      <c r="BJ8" s="235" t="s">
        <v>1088</v>
      </c>
      <c r="BK8" s="236"/>
      <c r="BL8" s="237"/>
      <c r="BM8" s="241" t="s">
        <v>1089</v>
      </c>
      <c r="BN8" s="241" t="s">
        <v>1090</v>
      </c>
    </row>
    <row r="9" spans="1:66" x14ac:dyDescent="0.25">
      <c r="A9" s="242"/>
      <c r="B9" s="242"/>
      <c r="C9" s="242"/>
      <c r="D9" s="242"/>
      <c r="E9" s="242"/>
      <c r="F9" s="242"/>
      <c r="G9" s="242"/>
      <c r="H9" s="242"/>
      <c r="I9" s="242"/>
      <c r="J9" s="242"/>
      <c r="K9" s="242"/>
      <c r="L9" s="242"/>
      <c r="M9" s="242"/>
      <c r="N9" s="242"/>
      <c r="O9" s="242"/>
      <c r="P9" s="242"/>
      <c r="Q9" s="242"/>
      <c r="R9" s="242"/>
      <c r="S9" s="242"/>
      <c r="T9" s="242"/>
      <c r="U9" s="242"/>
      <c r="V9" s="242"/>
      <c r="W9" s="242"/>
      <c r="X9" s="242"/>
      <c r="Y9" s="242"/>
      <c r="Z9" s="242"/>
      <c r="AA9" s="242"/>
      <c r="AB9" s="242"/>
      <c r="AC9" s="242"/>
      <c r="AD9" s="242"/>
      <c r="AE9" s="242"/>
      <c r="AF9" s="242"/>
      <c r="AG9" s="242"/>
      <c r="AH9" s="242"/>
      <c r="AI9" s="242"/>
      <c r="AJ9" s="242"/>
      <c r="AK9" s="242"/>
      <c r="AL9" s="242"/>
      <c r="AM9" s="242"/>
      <c r="AN9" s="242"/>
      <c r="AO9" s="242"/>
      <c r="AP9" s="242"/>
      <c r="AQ9" s="242"/>
      <c r="AR9" s="242"/>
      <c r="AS9" s="242"/>
      <c r="AT9" s="242"/>
      <c r="AU9" s="242"/>
      <c r="AV9" s="242"/>
      <c r="AW9" s="242"/>
      <c r="AX9" s="242"/>
      <c r="AY9" s="242"/>
      <c r="AZ9" s="242"/>
      <c r="BA9" s="242"/>
    </row>
    <row r="10" spans="1:66" x14ac:dyDescent="0.25">
      <c r="A10" s="242"/>
      <c r="B10" s="242"/>
      <c r="C10" s="242"/>
      <c r="D10" s="242"/>
      <c r="E10" s="242"/>
      <c r="F10" s="242"/>
      <c r="G10" s="242"/>
      <c r="H10" s="242"/>
      <c r="I10" s="242"/>
      <c r="J10" s="242"/>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2"/>
      <c r="AI10" s="242"/>
      <c r="AJ10" s="242"/>
      <c r="AK10" s="242"/>
      <c r="AL10" s="242"/>
      <c r="AM10" s="242"/>
      <c r="AN10" s="242"/>
      <c r="AO10" s="242"/>
      <c r="AP10" s="242"/>
      <c r="AQ10" s="242"/>
      <c r="AR10" s="242"/>
      <c r="AS10" s="242"/>
      <c r="AT10" s="242"/>
      <c r="AU10" s="242"/>
      <c r="AV10" s="242"/>
      <c r="AW10" s="242"/>
      <c r="AX10" s="242"/>
      <c r="AY10" s="242"/>
      <c r="AZ10" s="242"/>
      <c r="BA10" s="242"/>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8"/>
  <dimension ref="A1:M9"/>
  <sheetViews>
    <sheetView workbookViewId="0">
      <selection activeCell="A3" sqref="A3"/>
    </sheetView>
  </sheetViews>
  <sheetFormatPr defaultRowHeight="15" x14ac:dyDescent="0.25"/>
  <cols>
    <col min="1" max="1" width="9.42578125" customWidth="1"/>
    <col min="2" max="2" width="10.140625" customWidth="1"/>
    <col min="3" max="3" width="11.85546875" customWidth="1"/>
    <col min="4" max="4" width="16" customWidth="1"/>
    <col min="5" max="5" width="52.7109375" customWidth="1"/>
    <col min="6" max="6" width="52.42578125" customWidth="1"/>
    <col min="7" max="7" width="51" customWidth="1"/>
    <col min="8" max="8" width="53.28515625" customWidth="1"/>
    <col min="9" max="9" width="47.7109375" customWidth="1"/>
    <col min="10" max="10" width="55.28515625" customWidth="1"/>
    <col min="11" max="12" width="53.28515625" customWidth="1"/>
    <col min="13" max="13" width="47.140625" customWidth="1"/>
  </cols>
  <sheetData>
    <row r="1" spans="1:13" x14ac:dyDescent="0.25">
      <c r="A1" s="243" t="s">
        <v>1014</v>
      </c>
      <c r="B1" s="243" t="s">
        <v>1015</v>
      </c>
      <c r="C1" s="244" t="s">
        <v>1012</v>
      </c>
      <c r="D1" s="245" t="s">
        <v>1013</v>
      </c>
      <c r="E1" s="246" t="s">
        <v>1091</v>
      </c>
      <c r="F1" s="247" t="s">
        <v>1092</v>
      </c>
      <c r="G1" s="248" t="s">
        <v>1093</v>
      </c>
      <c r="H1" s="246" t="s">
        <v>1094</v>
      </c>
      <c r="I1" s="247" t="s">
        <v>1095</v>
      </c>
      <c r="J1" s="247" t="s">
        <v>1096</v>
      </c>
      <c r="K1" s="247" t="s">
        <v>1097</v>
      </c>
      <c r="L1" s="247" t="s">
        <v>1098</v>
      </c>
      <c r="M1" s="248" t="s">
        <v>1099</v>
      </c>
    </row>
    <row r="2" spans="1:13" x14ac:dyDescent="0.25">
      <c r="A2" s="243" t="s">
        <v>0</v>
      </c>
      <c r="B2" s="243" t="s">
        <v>0</v>
      </c>
      <c r="C2" s="249"/>
      <c r="D2" s="250"/>
      <c r="E2" s="251"/>
      <c r="F2" s="252"/>
      <c r="G2" s="253"/>
      <c r="H2" s="251"/>
      <c r="I2" s="252"/>
      <c r="J2" s="252"/>
      <c r="K2" s="252"/>
      <c r="L2" s="252"/>
      <c r="M2" s="253"/>
    </row>
    <row r="3" spans="1:13" x14ac:dyDescent="0.25">
      <c r="A3" s="268"/>
      <c r="B3" s="268"/>
      <c r="C3" s="269"/>
      <c r="D3" s="270"/>
      <c r="E3" s="271"/>
      <c r="F3" s="272"/>
      <c r="G3" s="273"/>
      <c r="H3" s="271"/>
      <c r="I3" s="272"/>
      <c r="J3" s="272"/>
      <c r="K3" s="272"/>
      <c r="L3" s="272"/>
      <c r="M3" s="273"/>
    </row>
    <row r="4" spans="1:13" x14ac:dyDescent="0.25">
      <c r="A4" s="268"/>
      <c r="B4" s="268"/>
      <c r="C4" s="269"/>
      <c r="D4" s="270"/>
      <c r="E4" s="271"/>
      <c r="F4" s="272"/>
      <c r="G4" s="273"/>
      <c r="H4" s="271"/>
      <c r="I4" s="272"/>
      <c r="J4" s="272"/>
      <c r="K4" s="272"/>
      <c r="L4" s="272"/>
      <c r="M4" s="273"/>
    </row>
    <row r="5" spans="1:13" x14ac:dyDescent="0.25">
      <c r="A5" s="268"/>
      <c r="B5" s="268"/>
      <c r="C5" s="269"/>
      <c r="D5" s="270"/>
      <c r="E5" s="271"/>
      <c r="F5" s="272"/>
      <c r="G5" s="273"/>
      <c r="H5" s="271"/>
      <c r="I5" s="272"/>
      <c r="J5" s="272"/>
      <c r="K5" s="272"/>
      <c r="L5" s="272"/>
      <c r="M5" s="273"/>
    </row>
    <row r="6" spans="1:13" x14ac:dyDescent="0.25">
      <c r="A6" s="268"/>
      <c r="B6" s="268"/>
      <c r="C6" s="269"/>
      <c r="D6" s="270"/>
      <c r="E6" s="271"/>
      <c r="F6" s="272"/>
      <c r="G6" s="273"/>
      <c r="H6" s="271"/>
      <c r="I6" s="272"/>
      <c r="J6" s="272"/>
      <c r="K6" s="272"/>
      <c r="L6" s="272"/>
      <c r="M6" s="273"/>
    </row>
    <row r="7" spans="1:13" x14ac:dyDescent="0.25">
      <c r="A7" s="274"/>
      <c r="B7" s="274"/>
      <c r="C7" s="275"/>
      <c r="D7" s="276"/>
      <c r="E7" s="271"/>
      <c r="F7" s="272"/>
      <c r="G7" s="273"/>
      <c r="H7" s="275"/>
      <c r="I7" s="277"/>
      <c r="J7" s="277"/>
      <c r="K7" s="277"/>
      <c r="L7" s="277"/>
      <c r="M7" s="276"/>
    </row>
    <row r="8" spans="1:13" x14ac:dyDescent="0.25">
      <c r="A8" s="236" t="s">
        <v>1017</v>
      </c>
      <c r="B8" s="236"/>
      <c r="C8" s="235" t="s">
        <v>1100</v>
      </c>
      <c r="D8" s="237"/>
      <c r="E8" s="235" t="s">
        <v>1101</v>
      </c>
      <c r="F8" s="236"/>
      <c r="G8" s="237"/>
      <c r="H8" s="235" t="s">
        <v>1016</v>
      </c>
      <c r="I8" s="236"/>
      <c r="J8" s="236"/>
      <c r="K8" s="236"/>
      <c r="L8" s="236"/>
      <c r="M8" s="237"/>
    </row>
    <row r="9" spans="1:13" x14ac:dyDescent="0.25">
      <c r="E9" s="184"/>
      <c r="F9" s="184"/>
      <c r="G9" s="184"/>
      <c r="H9" s="184"/>
      <c r="I9" s="184"/>
      <c r="J9" s="184"/>
      <c r="K9" s="184"/>
      <c r="L9" s="184"/>
      <c r="M9" s="184"/>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9"/>
  <dimension ref="A1:BK10"/>
  <sheetViews>
    <sheetView workbookViewId="0">
      <selection activeCell="A3" sqref="A3"/>
    </sheetView>
  </sheetViews>
  <sheetFormatPr defaultRowHeight="15" x14ac:dyDescent="0.25"/>
  <cols>
    <col min="1" max="1" width="14.5703125" customWidth="1"/>
    <col min="2" max="2" width="16.42578125" customWidth="1"/>
    <col min="9" max="9" width="14.5703125" customWidth="1"/>
    <col min="10" max="10" width="11.28515625" customWidth="1"/>
    <col min="11" max="11" width="10.140625" customWidth="1"/>
    <col min="12" max="12" width="11" bestFit="1" customWidth="1"/>
    <col min="15" max="15" width="10.5703125" customWidth="1"/>
    <col min="16" max="16" width="11.140625" customWidth="1"/>
    <col min="17" max="17" width="10.42578125" customWidth="1"/>
    <col min="18" max="18" width="11.42578125" customWidth="1"/>
    <col min="19" max="19" width="10.5703125" customWidth="1"/>
    <col min="20" max="20" width="11.140625" customWidth="1"/>
    <col min="21" max="21" width="10.42578125" customWidth="1"/>
    <col min="22" max="22" width="11.42578125" customWidth="1"/>
    <col min="23" max="23" width="11.7109375" customWidth="1"/>
    <col min="24" max="24" width="12.85546875" customWidth="1"/>
    <col min="25" max="25" width="9.140625" customWidth="1"/>
    <col min="26" max="28" width="12.42578125" customWidth="1"/>
    <col min="29" max="29" width="10.42578125" customWidth="1"/>
    <col min="30" max="30" width="11" customWidth="1"/>
    <col min="31" max="31" width="13.42578125" customWidth="1"/>
    <col min="32" max="32" width="13.7109375" customWidth="1"/>
    <col min="33" max="33" width="13.140625" customWidth="1"/>
    <col min="34" max="34" width="13" customWidth="1"/>
    <col min="35" max="35" width="13.7109375" customWidth="1"/>
    <col min="36" max="36" width="11.7109375" customWidth="1"/>
    <col min="37" max="37" width="9" customWidth="1"/>
    <col min="38" max="40" width="8.7109375" customWidth="1"/>
    <col min="41" max="41" width="11.140625" customWidth="1"/>
    <col min="42" max="42" width="12.28515625" customWidth="1"/>
    <col min="43" max="44" width="9.7109375" customWidth="1"/>
    <col min="45" max="45" width="9" customWidth="1"/>
    <col min="46" max="46" width="8.7109375" customWidth="1"/>
    <col min="47" max="48" width="9.7109375" customWidth="1"/>
    <col min="49" max="49" width="9" customWidth="1"/>
    <col min="50" max="50" width="8.7109375" customWidth="1"/>
    <col min="62" max="63" width="35.42578125" customWidth="1"/>
  </cols>
  <sheetData>
    <row r="1" spans="1:63" x14ac:dyDescent="0.25">
      <c r="A1" s="205" t="s">
        <v>968</v>
      </c>
      <c r="B1" s="205" t="s">
        <v>969</v>
      </c>
      <c r="C1" s="205" t="s">
        <v>1018</v>
      </c>
      <c r="D1" s="205" t="s">
        <v>1019</v>
      </c>
      <c r="E1" s="205" t="s">
        <v>975</v>
      </c>
      <c r="F1" s="205" t="s">
        <v>976</v>
      </c>
      <c r="G1" s="205" t="s">
        <v>977</v>
      </c>
      <c r="H1" s="206" t="s">
        <v>978</v>
      </c>
      <c r="I1" s="207" t="s">
        <v>152</v>
      </c>
      <c r="J1" s="208" t="s">
        <v>920</v>
      </c>
      <c r="K1" s="209" t="s">
        <v>979</v>
      </c>
      <c r="L1" s="210" t="s">
        <v>1023</v>
      </c>
      <c r="M1" s="210" t="s">
        <v>1024</v>
      </c>
      <c r="N1" s="211" t="s">
        <v>1025</v>
      </c>
      <c r="O1" s="212" t="s">
        <v>993</v>
      </c>
      <c r="P1" s="212" t="s">
        <v>1026</v>
      </c>
      <c r="Q1" s="212" t="s">
        <v>995</v>
      </c>
      <c r="R1" s="213" t="s">
        <v>1027</v>
      </c>
      <c r="S1" s="212" t="s">
        <v>1028</v>
      </c>
      <c r="T1" s="212" t="s">
        <v>1029</v>
      </c>
      <c r="U1" s="212" t="s">
        <v>1030</v>
      </c>
      <c r="V1" s="213" t="s">
        <v>1031</v>
      </c>
      <c r="W1" s="207" t="s">
        <v>1032</v>
      </c>
      <c r="X1" s="208" t="s">
        <v>1033</v>
      </c>
      <c r="Y1" s="205" t="s">
        <v>980</v>
      </c>
      <c r="Z1" s="205" t="s">
        <v>981</v>
      </c>
      <c r="AA1" s="205" t="s">
        <v>1020</v>
      </c>
      <c r="AB1" s="214" t="s">
        <v>1021</v>
      </c>
      <c r="AC1" s="214" t="s">
        <v>1034</v>
      </c>
      <c r="AD1" s="214" t="s">
        <v>1035</v>
      </c>
      <c r="AE1" s="207" t="s">
        <v>1036</v>
      </c>
      <c r="AF1" s="215" t="s">
        <v>1037</v>
      </c>
      <c r="AG1" s="208" t="s">
        <v>1038</v>
      </c>
      <c r="AH1" s="212" t="s">
        <v>1039</v>
      </c>
      <c r="AI1" s="212" t="s">
        <v>1040</v>
      </c>
      <c r="AJ1" s="213" t="s">
        <v>1041</v>
      </c>
      <c r="AK1" s="207" t="s">
        <v>1042</v>
      </c>
      <c r="AL1" s="215" t="s">
        <v>1043</v>
      </c>
      <c r="AM1" s="215" t="s">
        <v>1044</v>
      </c>
      <c r="AN1" s="208" t="s">
        <v>1045</v>
      </c>
      <c r="AO1" s="207" t="s">
        <v>1046</v>
      </c>
      <c r="AP1" s="208" t="s">
        <v>1047</v>
      </c>
      <c r="AQ1" s="207" t="s">
        <v>1048</v>
      </c>
      <c r="AR1" s="215" t="s">
        <v>1049</v>
      </c>
      <c r="AS1" s="215" t="s">
        <v>1050</v>
      </c>
      <c r="AT1" s="208" t="s">
        <v>1051</v>
      </c>
      <c r="AU1" s="207" t="s">
        <v>1052</v>
      </c>
      <c r="AV1" s="215" t="s">
        <v>1053</v>
      </c>
      <c r="AW1" s="215" t="s">
        <v>1054</v>
      </c>
      <c r="AX1" s="208" t="s">
        <v>1055</v>
      </c>
      <c r="AY1" s="207" t="s">
        <v>1056</v>
      </c>
      <c r="AZ1" s="215" t="s">
        <v>1057</v>
      </c>
      <c r="BA1" s="215" t="s">
        <v>1058</v>
      </c>
      <c r="BB1" s="208" t="s">
        <v>1059</v>
      </c>
      <c r="BC1" s="207" t="s">
        <v>1060</v>
      </c>
      <c r="BD1" s="215" t="s">
        <v>1061</v>
      </c>
      <c r="BE1" s="215" t="s">
        <v>1062</v>
      </c>
      <c r="BF1" s="208" t="s">
        <v>1063</v>
      </c>
      <c r="BG1" s="207" t="s">
        <v>1064</v>
      </c>
      <c r="BH1" s="215" t="s">
        <v>1065</v>
      </c>
      <c r="BI1" s="208" t="s">
        <v>1066</v>
      </c>
      <c r="BJ1" s="216" t="s">
        <v>1067</v>
      </c>
      <c r="BK1" s="216" t="s">
        <v>1068</v>
      </c>
    </row>
    <row r="2" spans="1:63" x14ac:dyDescent="0.25">
      <c r="A2" s="205"/>
      <c r="B2" s="205"/>
      <c r="C2" s="205" t="s">
        <v>0</v>
      </c>
      <c r="D2" s="205" t="s">
        <v>0</v>
      </c>
      <c r="E2" s="205"/>
      <c r="F2" s="205" t="s">
        <v>0</v>
      </c>
      <c r="G2" s="205" t="s">
        <v>0</v>
      </c>
      <c r="H2" s="206" t="s">
        <v>0</v>
      </c>
      <c r="I2" s="217"/>
      <c r="J2" s="213" t="s">
        <v>91</v>
      </c>
      <c r="K2" s="218" t="s">
        <v>0</v>
      </c>
      <c r="L2" s="219" t="s">
        <v>1069</v>
      </c>
      <c r="M2" s="219" t="s">
        <v>0</v>
      </c>
      <c r="N2" s="206" t="s">
        <v>1069</v>
      </c>
      <c r="O2" s="212"/>
      <c r="P2" s="212" t="s">
        <v>0</v>
      </c>
      <c r="Q2" s="212"/>
      <c r="R2" s="213" t="s">
        <v>0</v>
      </c>
      <c r="S2" s="212"/>
      <c r="T2" s="212" t="s">
        <v>0</v>
      </c>
      <c r="U2" s="212"/>
      <c r="V2" s="213" t="s">
        <v>0</v>
      </c>
      <c r="W2" s="217" t="s">
        <v>0</v>
      </c>
      <c r="X2" s="213" t="s">
        <v>0</v>
      </c>
      <c r="Y2" s="205"/>
      <c r="Z2" s="205"/>
      <c r="AA2" s="205"/>
      <c r="AB2" s="212" t="s">
        <v>0</v>
      </c>
      <c r="AC2" s="212" t="s">
        <v>0</v>
      </c>
      <c r="AD2" s="212" t="s">
        <v>0</v>
      </c>
      <c r="AE2" s="217" t="s">
        <v>21</v>
      </c>
      <c r="AF2" s="220" t="s">
        <v>21</v>
      </c>
      <c r="AG2" s="213" t="s">
        <v>21</v>
      </c>
      <c r="AH2" s="212" t="s">
        <v>21</v>
      </c>
      <c r="AI2" s="212" t="s">
        <v>21</v>
      </c>
      <c r="AJ2" s="213" t="s">
        <v>21</v>
      </c>
      <c r="AK2" s="217" t="s">
        <v>21</v>
      </c>
      <c r="AL2" s="220" t="s">
        <v>21</v>
      </c>
      <c r="AM2" s="220" t="s">
        <v>21</v>
      </c>
      <c r="AN2" s="213" t="s">
        <v>21</v>
      </c>
      <c r="AO2" s="217" t="s">
        <v>595</v>
      </c>
      <c r="AP2" s="213" t="s">
        <v>595</v>
      </c>
      <c r="AQ2" s="217" t="s">
        <v>21</v>
      </c>
      <c r="AR2" s="220" t="s">
        <v>21</v>
      </c>
      <c r="AS2" s="220" t="s">
        <v>21</v>
      </c>
      <c r="AT2" s="213" t="s">
        <v>21</v>
      </c>
      <c r="AU2" s="217" t="s">
        <v>21</v>
      </c>
      <c r="AV2" s="220" t="s">
        <v>21</v>
      </c>
      <c r="AW2" s="220" t="s">
        <v>21</v>
      </c>
      <c r="AX2" s="213" t="s">
        <v>21</v>
      </c>
      <c r="AY2" s="217" t="s">
        <v>90</v>
      </c>
      <c r="AZ2" s="220" t="s">
        <v>90</v>
      </c>
      <c r="BA2" s="220" t="s">
        <v>90</v>
      </c>
      <c r="BB2" s="213" t="s">
        <v>90</v>
      </c>
      <c r="BC2" s="217" t="s">
        <v>90</v>
      </c>
      <c r="BD2" s="220" t="s">
        <v>90</v>
      </c>
      <c r="BE2" s="220" t="s">
        <v>90</v>
      </c>
      <c r="BF2" s="213" t="s">
        <v>90</v>
      </c>
      <c r="BG2" s="217"/>
      <c r="BH2" s="220"/>
      <c r="BI2" s="213"/>
      <c r="BJ2" s="221"/>
      <c r="BK2" s="221"/>
    </row>
    <row r="3" spans="1:63" x14ac:dyDescent="0.25">
      <c r="A3" s="222" t="s">
        <v>1070</v>
      </c>
      <c r="B3" s="222" t="s">
        <v>1022</v>
      </c>
      <c r="C3" s="222">
        <v>450</v>
      </c>
      <c r="D3" s="222">
        <v>450</v>
      </c>
      <c r="E3" s="222">
        <v>0</v>
      </c>
      <c r="F3" s="222">
        <v>0</v>
      </c>
      <c r="G3" s="222">
        <v>0</v>
      </c>
      <c r="H3" s="223">
        <v>0</v>
      </c>
      <c r="I3" s="224" t="s">
        <v>776</v>
      </c>
      <c r="J3" s="223">
        <v>500</v>
      </c>
      <c r="K3" s="225">
        <v>900</v>
      </c>
      <c r="L3" s="226">
        <v>25</v>
      </c>
      <c r="M3" s="226">
        <v>0</v>
      </c>
      <c r="N3" s="223">
        <v>12</v>
      </c>
      <c r="O3" s="222">
        <v>10</v>
      </c>
      <c r="P3" s="222">
        <v>20</v>
      </c>
      <c r="Q3" s="222">
        <v>10</v>
      </c>
      <c r="R3" s="223">
        <v>20</v>
      </c>
      <c r="S3" s="222">
        <v>12</v>
      </c>
      <c r="T3" s="222">
        <v>16</v>
      </c>
      <c r="U3" s="222">
        <v>10</v>
      </c>
      <c r="V3" s="223">
        <v>20</v>
      </c>
      <c r="W3" s="225">
        <v>75</v>
      </c>
      <c r="X3" s="223">
        <v>75</v>
      </c>
      <c r="Y3" s="222">
        <v>4</v>
      </c>
      <c r="Z3" s="222" t="s">
        <v>1022</v>
      </c>
      <c r="AA3" s="222" t="s">
        <v>692</v>
      </c>
      <c r="AB3" s="222">
        <v>400</v>
      </c>
      <c r="AC3" s="222">
        <v>100</v>
      </c>
      <c r="AD3" s="222">
        <v>75</v>
      </c>
      <c r="AE3" s="225">
        <v>1350</v>
      </c>
      <c r="AF3" s="226">
        <v>250</v>
      </c>
      <c r="AG3" s="223">
        <v>100</v>
      </c>
      <c r="AH3" s="222">
        <v>1000</v>
      </c>
      <c r="AI3" s="222">
        <v>200</v>
      </c>
      <c r="AJ3" s="223">
        <v>75</v>
      </c>
      <c r="AK3" s="225">
        <v>600</v>
      </c>
      <c r="AL3" s="226">
        <v>0</v>
      </c>
      <c r="AM3" s="226">
        <v>0</v>
      </c>
      <c r="AN3" s="223">
        <v>0</v>
      </c>
      <c r="AO3" s="225">
        <v>5</v>
      </c>
      <c r="AP3" s="223">
        <v>10</v>
      </c>
      <c r="AQ3" s="225">
        <v>0</v>
      </c>
      <c r="AR3" s="226">
        <v>0</v>
      </c>
      <c r="AS3" s="226">
        <v>0</v>
      </c>
      <c r="AT3" s="223">
        <v>0</v>
      </c>
      <c r="AU3" s="225">
        <v>0</v>
      </c>
      <c r="AV3" s="226">
        <v>0</v>
      </c>
      <c r="AW3" s="226">
        <v>0</v>
      </c>
      <c r="AX3" s="223">
        <v>0</v>
      </c>
      <c r="AY3" s="225">
        <v>0</v>
      </c>
      <c r="AZ3" s="226">
        <v>0</v>
      </c>
      <c r="BA3" s="226">
        <v>0</v>
      </c>
      <c r="BB3" s="223">
        <v>0</v>
      </c>
      <c r="BC3" s="225">
        <v>0</v>
      </c>
      <c r="BD3" s="226">
        <v>0</v>
      </c>
      <c r="BE3" s="226">
        <v>0</v>
      </c>
      <c r="BF3" s="223">
        <v>0</v>
      </c>
      <c r="BG3" s="225">
        <v>0.7</v>
      </c>
      <c r="BH3" s="226">
        <v>0.5</v>
      </c>
      <c r="BI3" s="223">
        <v>0.5</v>
      </c>
      <c r="BJ3" s="227">
        <v>0</v>
      </c>
      <c r="BK3" s="227">
        <v>1</v>
      </c>
    </row>
    <row r="4" spans="1:63" x14ac:dyDescent="0.25">
      <c r="A4" s="222" t="s">
        <v>1071</v>
      </c>
      <c r="B4" s="222" t="s">
        <v>1022</v>
      </c>
      <c r="C4" s="222">
        <v>450</v>
      </c>
      <c r="D4" s="222">
        <v>450</v>
      </c>
      <c r="E4" s="222">
        <v>1</v>
      </c>
      <c r="F4" s="222">
        <v>150</v>
      </c>
      <c r="G4" s="222">
        <v>600</v>
      </c>
      <c r="H4" s="223">
        <v>600</v>
      </c>
      <c r="I4" s="224" t="s">
        <v>689</v>
      </c>
      <c r="J4" s="223">
        <v>500</v>
      </c>
      <c r="K4" s="225">
        <v>900</v>
      </c>
      <c r="L4" s="226">
        <v>25</v>
      </c>
      <c r="M4" s="226">
        <v>0</v>
      </c>
      <c r="N4" s="223">
        <v>12</v>
      </c>
      <c r="O4" s="222">
        <v>10</v>
      </c>
      <c r="P4" s="222">
        <v>20</v>
      </c>
      <c r="Q4" s="222">
        <v>10</v>
      </c>
      <c r="R4" s="223">
        <v>20</v>
      </c>
      <c r="S4" s="222">
        <v>12</v>
      </c>
      <c r="T4" s="222">
        <v>20</v>
      </c>
      <c r="U4" s="222">
        <v>10</v>
      </c>
      <c r="V4" s="223">
        <v>20</v>
      </c>
      <c r="W4" s="225">
        <v>75</v>
      </c>
      <c r="X4" s="223">
        <v>75</v>
      </c>
      <c r="Y4" s="222">
        <v>5</v>
      </c>
      <c r="Z4" s="222" t="s">
        <v>1022</v>
      </c>
      <c r="AA4" s="222" t="s">
        <v>1072</v>
      </c>
      <c r="AB4" s="222">
        <v>350</v>
      </c>
      <c r="AC4" s="222">
        <v>100</v>
      </c>
      <c r="AD4" s="222">
        <v>75</v>
      </c>
      <c r="AE4" s="225">
        <v>1350</v>
      </c>
      <c r="AF4" s="226">
        <v>250</v>
      </c>
      <c r="AG4" s="223">
        <v>100</v>
      </c>
      <c r="AH4" s="222">
        <v>1000</v>
      </c>
      <c r="AI4" s="222">
        <v>200</v>
      </c>
      <c r="AJ4" s="223">
        <v>75</v>
      </c>
      <c r="AK4" s="225">
        <v>1000</v>
      </c>
      <c r="AL4" s="226">
        <v>350</v>
      </c>
      <c r="AM4" s="226">
        <v>0</v>
      </c>
      <c r="AN4" s="223">
        <v>0</v>
      </c>
      <c r="AO4" s="225">
        <v>5</v>
      </c>
      <c r="AP4" s="223">
        <v>10</v>
      </c>
      <c r="AQ4" s="225">
        <v>0</v>
      </c>
      <c r="AR4" s="226">
        <v>0</v>
      </c>
      <c r="AS4" s="226">
        <v>0</v>
      </c>
      <c r="AT4" s="223">
        <v>0</v>
      </c>
      <c r="AU4" s="225">
        <v>0</v>
      </c>
      <c r="AV4" s="226">
        <v>0</v>
      </c>
      <c r="AW4" s="226">
        <v>0</v>
      </c>
      <c r="AX4" s="223">
        <v>0</v>
      </c>
      <c r="AY4" s="225">
        <v>0</v>
      </c>
      <c r="AZ4" s="226">
        <v>0</v>
      </c>
      <c r="BA4" s="226">
        <v>0</v>
      </c>
      <c r="BB4" s="223">
        <v>0</v>
      </c>
      <c r="BC4" s="225">
        <v>0</v>
      </c>
      <c r="BD4" s="226">
        <v>0</v>
      </c>
      <c r="BE4" s="226">
        <v>0</v>
      </c>
      <c r="BF4" s="223">
        <v>0</v>
      </c>
      <c r="BG4" s="225">
        <v>0.7</v>
      </c>
      <c r="BH4" s="226">
        <v>0.5</v>
      </c>
      <c r="BI4" s="223">
        <v>0.5</v>
      </c>
      <c r="BJ4" s="227">
        <v>0</v>
      </c>
      <c r="BK4" s="227">
        <v>0</v>
      </c>
    </row>
    <row r="5" spans="1:63" x14ac:dyDescent="0.25">
      <c r="A5" s="222" t="s">
        <v>1073</v>
      </c>
      <c r="B5" s="222" t="s">
        <v>1022</v>
      </c>
      <c r="C5" s="222">
        <v>450</v>
      </c>
      <c r="D5" s="222">
        <v>450</v>
      </c>
      <c r="E5" s="222">
        <v>0</v>
      </c>
      <c r="F5" s="222">
        <v>0</v>
      </c>
      <c r="G5" s="222">
        <v>0</v>
      </c>
      <c r="H5" s="223">
        <v>0</v>
      </c>
      <c r="I5" s="224" t="s">
        <v>689</v>
      </c>
      <c r="J5" s="223">
        <v>500</v>
      </c>
      <c r="K5" s="225">
        <v>900</v>
      </c>
      <c r="L5" s="226">
        <v>25</v>
      </c>
      <c r="M5" s="226">
        <v>0</v>
      </c>
      <c r="N5" s="223">
        <v>12</v>
      </c>
      <c r="O5" s="222">
        <v>10</v>
      </c>
      <c r="P5" s="222">
        <v>20</v>
      </c>
      <c r="Q5" s="222">
        <v>10</v>
      </c>
      <c r="R5" s="223">
        <v>20</v>
      </c>
      <c r="S5" s="222">
        <v>12</v>
      </c>
      <c r="T5" s="222">
        <v>20</v>
      </c>
      <c r="U5" s="222">
        <v>10</v>
      </c>
      <c r="V5" s="223">
        <v>20</v>
      </c>
      <c r="W5" s="225">
        <v>75</v>
      </c>
      <c r="X5" s="223">
        <v>75</v>
      </c>
      <c r="Y5" s="222">
        <v>7</v>
      </c>
      <c r="Z5" s="222" t="s">
        <v>1022</v>
      </c>
      <c r="AA5" s="222" t="s">
        <v>692</v>
      </c>
      <c r="AB5" s="222">
        <v>300</v>
      </c>
      <c r="AC5" s="222">
        <v>100</v>
      </c>
      <c r="AD5" s="222">
        <v>75</v>
      </c>
      <c r="AE5" s="225">
        <v>1350</v>
      </c>
      <c r="AF5" s="226">
        <v>250</v>
      </c>
      <c r="AG5" s="223">
        <v>100</v>
      </c>
      <c r="AH5" s="222">
        <v>1000</v>
      </c>
      <c r="AI5" s="222">
        <v>200</v>
      </c>
      <c r="AJ5" s="223">
        <v>75</v>
      </c>
      <c r="AK5" s="225">
        <v>1000</v>
      </c>
      <c r="AL5" s="226">
        <v>350</v>
      </c>
      <c r="AM5" s="226">
        <v>0</v>
      </c>
      <c r="AN5" s="223">
        <v>0</v>
      </c>
      <c r="AO5" s="225">
        <v>5</v>
      </c>
      <c r="AP5" s="223">
        <v>10</v>
      </c>
      <c r="AQ5" s="225">
        <v>0</v>
      </c>
      <c r="AR5" s="226">
        <v>0</v>
      </c>
      <c r="AS5" s="226">
        <v>0</v>
      </c>
      <c r="AT5" s="223">
        <v>0</v>
      </c>
      <c r="AU5" s="225">
        <v>0</v>
      </c>
      <c r="AV5" s="226">
        <v>0</v>
      </c>
      <c r="AW5" s="226">
        <v>0</v>
      </c>
      <c r="AX5" s="223">
        <v>0</v>
      </c>
      <c r="AY5" s="225">
        <v>0</v>
      </c>
      <c r="AZ5" s="226">
        <v>0</v>
      </c>
      <c r="BA5" s="226">
        <v>0</v>
      </c>
      <c r="BB5" s="223">
        <v>0</v>
      </c>
      <c r="BC5" s="225">
        <v>0</v>
      </c>
      <c r="BD5" s="226">
        <v>0</v>
      </c>
      <c r="BE5" s="226">
        <v>0</v>
      </c>
      <c r="BF5" s="223">
        <v>0</v>
      </c>
      <c r="BG5" s="225">
        <v>0.7</v>
      </c>
      <c r="BH5" s="226">
        <v>0.5</v>
      </c>
      <c r="BI5" s="223">
        <v>0.5</v>
      </c>
      <c r="BJ5" s="227">
        <v>0</v>
      </c>
      <c r="BK5" s="227">
        <v>0</v>
      </c>
    </row>
    <row r="6" spans="1:63" x14ac:dyDescent="0.25">
      <c r="A6" s="222"/>
      <c r="B6" s="222"/>
      <c r="C6" s="222"/>
      <c r="D6" s="222"/>
      <c r="E6" s="222"/>
      <c r="F6" s="222"/>
      <c r="G6" s="222"/>
      <c r="H6" s="223"/>
      <c r="I6" s="224"/>
      <c r="J6" s="223"/>
      <c r="K6" s="225"/>
      <c r="L6" s="226"/>
      <c r="M6" s="226"/>
      <c r="N6" s="223"/>
      <c r="O6" s="222"/>
      <c r="P6" s="222"/>
      <c r="Q6" s="222"/>
      <c r="R6" s="223"/>
      <c r="S6" s="222"/>
      <c r="T6" s="222"/>
      <c r="U6" s="222"/>
      <c r="V6" s="223"/>
      <c r="W6" s="228"/>
      <c r="X6" s="223"/>
      <c r="Y6" s="222"/>
      <c r="Z6" s="222"/>
      <c r="AA6" s="222"/>
      <c r="AB6" s="222"/>
      <c r="AC6" s="222"/>
      <c r="AD6" s="222"/>
      <c r="AE6" s="225"/>
      <c r="AF6" s="226"/>
      <c r="AG6" s="223"/>
      <c r="AH6" s="222"/>
      <c r="AI6" s="222"/>
      <c r="AJ6" s="223"/>
      <c r="AK6" s="225"/>
      <c r="AL6" s="226"/>
      <c r="AM6" s="226"/>
      <c r="AN6" s="223"/>
      <c r="AO6" s="225"/>
      <c r="AP6" s="223"/>
      <c r="AQ6" s="225"/>
      <c r="AR6" s="226"/>
      <c r="AS6" s="226"/>
      <c r="AT6" s="223"/>
      <c r="AU6" s="225"/>
      <c r="AV6" s="226"/>
      <c r="AW6" s="226"/>
      <c r="AX6" s="223"/>
      <c r="AY6" s="225"/>
      <c r="AZ6" s="226"/>
      <c r="BA6" s="226"/>
      <c r="BB6" s="223"/>
      <c r="BC6" s="225"/>
      <c r="BD6" s="226"/>
      <c r="BE6" s="226"/>
      <c r="BF6" s="223"/>
      <c r="BG6" s="225"/>
      <c r="BH6" s="226"/>
      <c r="BI6" s="223"/>
      <c r="BJ6" s="227"/>
      <c r="BK6" s="227"/>
    </row>
    <row r="7" spans="1:63" x14ac:dyDescent="0.25">
      <c r="A7" s="229"/>
      <c r="B7" s="229"/>
      <c r="C7" s="229"/>
      <c r="D7" s="229"/>
      <c r="E7" s="229"/>
      <c r="F7" s="229"/>
      <c r="G7" s="229"/>
      <c r="H7" s="230"/>
      <c r="I7" s="224"/>
      <c r="J7" s="231"/>
      <c r="K7" s="228"/>
      <c r="L7" s="232"/>
      <c r="M7" s="232"/>
      <c r="N7" s="231"/>
      <c r="O7" s="229"/>
      <c r="P7" s="229"/>
      <c r="Q7" s="229"/>
      <c r="R7" s="230"/>
      <c r="S7" s="229"/>
      <c r="T7" s="229"/>
      <c r="U7" s="229"/>
      <c r="V7" s="230"/>
      <c r="W7" s="228"/>
      <c r="X7" s="223"/>
      <c r="Y7" s="229"/>
      <c r="Z7" s="229"/>
      <c r="AA7" s="229"/>
      <c r="AB7" s="229"/>
      <c r="AC7" s="229"/>
      <c r="AD7" s="229"/>
      <c r="AE7" s="228"/>
      <c r="AF7" s="232"/>
      <c r="AG7" s="231"/>
      <c r="AH7" s="229"/>
      <c r="AI7" s="229"/>
      <c r="AJ7" s="230"/>
      <c r="AK7" s="228"/>
      <c r="AL7" s="232"/>
      <c r="AM7" s="232"/>
      <c r="AN7" s="231"/>
      <c r="AO7" s="233"/>
      <c r="AP7" s="230"/>
      <c r="AQ7" s="228"/>
      <c r="AR7" s="232"/>
      <c r="AS7" s="232"/>
      <c r="AT7" s="231"/>
      <c r="AU7" s="228"/>
      <c r="AV7" s="232"/>
      <c r="AW7" s="232"/>
      <c r="AX7" s="231"/>
      <c r="AY7" s="228"/>
      <c r="AZ7" s="232"/>
      <c r="BA7" s="232"/>
      <c r="BB7" s="231"/>
      <c r="BC7" s="228"/>
      <c r="BD7" s="232"/>
      <c r="BE7" s="232"/>
      <c r="BF7" s="231"/>
      <c r="BG7" s="228"/>
      <c r="BH7" s="232"/>
      <c r="BI7" s="231"/>
      <c r="BJ7" s="234"/>
      <c r="BK7" s="234"/>
    </row>
    <row r="8" spans="1:63" x14ac:dyDescent="0.25">
      <c r="A8" s="235" t="s">
        <v>1074</v>
      </c>
      <c r="B8" s="235" t="s">
        <v>1008</v>
      </c>
      <c r="C8" s="236"/>
      <c r="D8" s="236"/>
      <c r="E8" s="236"/>
      <c r="F8" s="236"/>
      <c r="G8" s="236"/>
      <c r="H8" s="237"/>
      <c r="I8" s="235" t="s">
        <v>1075</v>
      </c>
      <c r="J8" s="237"/>
      <c r="K8" s="238" t="s">
        <v>1076</v>
      </c>
      <c r="L8" s="239"/>
      <c r="M8" s="239"/>
      <c r="N8" s="240"/>
      <c r="O8" s="236" t="s">
        <v>1077</v>
      </c>
      <c r="P8" s="236"/>
      <c r="Q8" s="236"/>
      <c r="R8" s="237"/>
      <c r="S8" s="236" t="s">
        <v>1078</v>
      </c>
      <c r="T8" s="236"/>
      <c r="U8" s="236"/>
      <c r="V8" s="237"/>
      <c r="W8" s="235" t="s">
        <v>1079</v>
      </c>
      <c r="X8" s="237"/>
      <c r="Y8" s="236" t="s">
        <v>1009</v>
      </c>
      <c r="Z8" s="236"/>
      <c r="AA8" s="236"/>
      <c r="AB8" s="236"/>
      <c r="AC8" s="236"/>
      <c r="AD8" s="236"/>
      <c r="AE8" s="235" t="s">
        <v>1080</v>
      </c>
      <c r="AF8" s="236"/>
      <c r="AG8" s="237"/>
      <c r="AH8" s="236" t="s">
        <v>1081</v>
      </c>
      <c r="AI8" s="236"/>
      <c r="AJ8" s="237"/>
      <c r="AK8" s="235" t="s">
        <v>1082</v>
      </c>
      <c r="AL8" s="236"/>
      <c r="AM8" s="236"/>
      <c r="AN8" s="237"/>
      <c r="AO8" s="235" t="s">
        <v>1083</v>
      </c>
      <c r="AP8" s="237"/>
      <c r="AQ8" s="235" t="s">
        <v>1084</v>
      </c>
      <c r="AR8" s="236"/>
      <c r="AS8" s="236"/>
      <c r="AT8" s="237"/>
      <c r="AU8" s="235" t="s">
        <v>1085</v>
      </c>
      <c r="AV8" s="236"/>
      <c r="AW8" s="236"/>
      <c r="AX8" s="237"/>
      <c r="AY8" s="235" t="s">
        <v>1086</v>
      </c>
      <c r="AZ8" s="236"/>
      <c r="BA8" s="236"/>
      <c r="BB8" s="237"/>
      <c r="BC8" s="235" t="s">
        <v>1087</v>
      </c>
      <c r="BD8" s="236"/>
      <c r="BE8" s="236"/>
      <c r="BF8" s="237"/>
      <c r="BG8" s="235" t="s">
        <v>1088</v>
      </c>
      <c r="BH8" s="236"/>
      <c r="BI8" s="237"/>
      <c r="BJ8" s="241" t="s">
        <v>1089</v>
      </c>
      <c r="BK8" s="241" t="s">
        <v>1090</v>
      </c>
    </row>
    <row r="9" spans="1:63" x14ac:dyDescent="0.25">
      <c r="B9" s="242"/>
      <c r="C9" s="242"/>
      <c r="D9" s="242"/>
      <c r="E9" s="242"/>
      <c r="F9" s="242"/>
      <c r="G9" s="242"/>
      <c r="H9" s="242"/>
      <c r="I9" s="242"/>
      <c r="J9" s="242"/>
      <c r="K9" s="242"/>
      <c r="L9" s="242"/>
      <c r="M9" s="242"/>
      <c r="N9" s="242"/>
      <c r="O9" s="242"/>
      <c r="P9" s="242"/>
      <c r="Q9" s="242"/>
      <c r="R9" s="242"/>
      <c r="S9" s="242"/>
      <c r="T9" s="242"/>
      <c r="U9" s="242"/>
      <c r="V9" s="242"/>
      <c r="W9" s="242"/>
      <c r="X9" s="242"/>
      <c r="Y9" s="242"/>
      <c r="Z9" s="242"/>
      <c r="AA9" s="242"/>
      <c r="AB9" s="242"/>
      <c r="AC9" s="242"/>
      <c r="AD9" s="242"/>
      <c r="AE9" s="242"/>
      <c r="AF9" s="242"/>
      <c r="AG9" s="242"/>
      <c r="AH9" s="242"/>
      <c r="AI9" s="242"/>
      <c r="AJ9" s="242"/>
      <c r="AK9" s="242"/>
      <c r="AL9" s="242"/>
      <c r="AM9" s="242"/>
    </row>
    <row r="10" spans="1:63" x14ac:dyDescent="0.25">
      <c r="B10" s="242"/>
      <c r="C10" s="242"/>
      <c r="D10" s="242"/>
      <c r="E10" s="242"/>
      <c r="F10" s="242"/>
      <c r="G10" s="242"/>
      <c r="H10" s="242"/>
      <c r="I10" s="242"/>
      <c r="J10" s="242"/>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2"/>
      <c r="AI10" s="242"/>
      <c r="AJ10" s="242"/>
      <c r="AK10" s="242"/>
      <c r="AL10" s="242"/>
      <c r="AM10" s="242"/>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N10"/>
  <sheetViews>
    <sheetView workbookViewId="0">
      <selection activeCell="A3" sqref="A3"/>
    </sheetView>
  </sheetViews>
  <sheetFormatPr defaultRowHeight="15" x14ac:dyDescent="0.25"/>
  <cols>
    <col min="1" max="1" width="9.42578125" customWidth="1"/>
    <col min="2" max="2" width="10.140625" customWidth="1"/>
    <col min="3" max="3" width="11.85546875" customWidth="1"/>
    <col min="4" max="4" width="16" customWidth="1"/>
    <col min="5" max="5" width="52.7109375" customWidth="1"/>
    <col min="6" max="6" width="52.42578125" customWidth="1"/>
    <col min="7" max="7" width="51" customWidth="1"/>
    <col min="8" max="8" width="53.28515625" customWidth="1"/>
    <col min="9" max="9" width="47.7109375" customWidth="1"/>
    <col min="10" max="10" width="55.28515625" customWidth="1"/>
    <col min="11" max="12" width="53.28515625" customWidth="1"/>
    <col min="13" max="13" width="47.140625" customWidth="1"/>
  </cols>
  <sheetData>
    <row r="1" spans="1:14" x14ac:dyDescent="0.25">
      <c r="A1" s="243" t="s">
        <v>1014</v>
      </c>
      <c r="B1" s="243" t="s">
        <v>1015</v>
      </c>
      <c r="C1" s="244" t="s">
        <v>1012</v>
      </c>
      <c r="D1" s="245" t="s">
        <v>1013</v>
      </c>
      <c r="E1" s="246" t="s">
        <v>1091</v>
      </c>
      <c r="F1" s="247" t="s">
        <v>1092</v>
      </c>
      <c r="G1" s="248" t="s">
        <v>1093</v>
      </c>
      <c r="H1" s="246" t="s">
        <v>1094</v>
      </c>
      <c r="I1" s="247" t="s">
        <v>1095</v>
      </c>
      <c r="J1" s="247" t="s">
        <v>1096</v>
      </c>
      <c r="K1" s="247" t="s">
        <v>1097</v>
      </c>
      <c r="L1" s="247" t="s">
        <v>1098</v>
      </c>
      <c r="M1" s="248" t="s">
        <v>1099</v>
      </c>
    </row>
    <row r="2" spans="1:14" x14ac:dyDescent="0.25">
      <c r="A2" s="243" t="s">
        <v>0</v>
      </c>
      <c r="B2" s="243" t="s">
        <v>0</v>
      </c>
      <c r="C2" s="249"/>
      <c r="D2" s="250"/>
      <c r="E2" s="251"/>
      <c r="F2" s="252"/>
      <c r="G2" s="253"/>
      <c r="H2" s="251"/>
      <c r="I2" s="252"/>
      <c r="J2" s="252"/>
      <c r="K2" s="252"/>
      <c r="L2" s="252"/>
      <c r="M2" s="253"/>
    </row>
    <row r="3" spans="1:14" x14ac:dyDescent="0.25">
      <c r="A3" s="254"/>
      <c r="B3" s="254"/>
      <c r="C3" s="255"/>
      <c r="D3" s="256"/>
      <c r="E3" s="257"/>
      <c r="F3" s="258"/>
      <c r="G3" s="259"/>
      <c r="H3" s="257"/>
      <c r="I3" s="258"/>
      <c r="J3" s="258"/>
      <c r="K3" s="258"/>
      <c r="L3" s="258"/>
      <c r="M3" s="259"/>
    </row>
    <row r="4" spans="1:14" x14ac:dyDescent="0.25">
      <c r="A4" s="254"/>
      <c r="B4" s="254"/>
      <c r="C4" s="255"/>
      <c r="D4" s="256"/>
      <c r="E4" s="257"/>
      <c r="F4" s="258"/>
      <c r="G4" s="259"/>
      <c r="H4" s="257"/>
      <c r="I4" s="258"/>
      <c r="J4" s="258"/>
      <c r="K4" s="258"/>
      <c r="L4" s="258"/>
      <c r="M4" s="259"/>
    </row>
    <row r="5" spans="1:14" x14ac:dyDescent="0.25">
      <c r="A5" s="254"/>
      <c r="B5" s="254"/>
      <c r="C5" s="255"/>
      <c r="D5" s="256"/>
      <c r="E5" s="257"/>
      <c r="F5" s="258"/>
      <c r="G5" s="259"/>
      <c r="H5" s="257"/>
      <c r="I5" s="258"/>
      <c r="J5" s="258"/>
      <c r="K5" s="258"/>
      <c r="L5" s="258"/>
      <c r="M5" s="259"/>
    </row>
    <row r="6" spans="1:14" x14ac:dyDescent="0.25">
      <c r="A6" s="254"/>
      <c r="B6" s="254"/>
      <c r="C6" s="255"/>
      <c r="D6" s="256"/>
      <c r="E6" s="257"/>
      <c r="F6" s="258"/>
      <c r="G6" s="259"/>
      <c r="H6" s="257"/>
      <c r="I6" s="258"/>
      <c r="J6" s="258"/>
      <c r="K6" s="258"/>
      <c r="L6" s="258"/>
      <c r="M6" s="259"/>
    </row>
    <row r="7" spans="1:14" x14ac:dyDescent="0.25">
      <c r="A7" s="260"/>
      <c r="B7" s="260"/>
      <c r="C7" s="261"/>
      <c r="D7" s="262"/>
      <c r="E7" s="257"/>
      <c r="F7" s="258"/>
      <c r="G7" s="259"/>
      <c r="H7" s="261"/>
      <c r="I7" s="263"/>
      <c r="J7" s="263"/>
      <c r="K7" s="263"/>
      <c r="L7" s="263"/>
      <c r="M7" s="262"/>
    </row>
    <row r="8" spans="1:14" x14ac:dyDescent="0.25">
      <c r="A8" s="236" t="s">
        <v>1017</v>
      </c>
      <c r="B8" s="236"/>
      <c r="C8" s="235" t="s">
        <v>1100</v>
      </c>
      <c r="D8" s="237"/>
      <c r="E8" s="235" t="s">
        <v>1101</v>
      </c>
      <c r="F8" s="236"/>
      <c r="G8" s="237"/>
      <c r="H8" s="235" t="s">
        <v>1016</v>
      </c>
      <c r="I8" s="236"/>
      <c r="J8" s="236"/>
      <c r="K8" s="236"/>
      <c r="L8" s="236"/>
      <c r="M8" s="237"/>
      <c r="N8" s="242"/>
    </row>
    <row r="9" spans="1:14" x14ac:dyDescent="0.25">
      <c r="A9" s="242"/>
      <c r="B9" s="242"/>
      <c r="C9" s="242"/>
      <c r="D9" s="242"/>
      <c r="E9" s="264"/>
      <c r="F9" s="264"/>
      <c r="G9" s="264"/>
      <c r="H9" s="264"/>
      <c r="I9" s="264"/>
      <c r="J9" s="264"/>
      <c r="K9" s="264"/>
      <c r="L9" s="264"/>
      <c r="M9" s="264"/>
      <c r="N9" s="242"/>
    </row>
    <row r="10" spans="1:14" x14ac:dyDescent="0.25">
      <c r="A10" s="242"/>
      <c r="B10" s="242"/>
      <c r="C10" s="242"/>
      <c r="D10" s="242"/>
      <c r="E10" s="242"/>
      <c r="F10" s="242"/>
      <c r="G10" s="242"/>
      <c r="H10" s="242"/>
      <c r="I10" s="242"/>
      <c r="J10" s="242"/>
      <c r="K10" s="242"/>
      <c r="L10" s="242"/>
      <c r="M10" s="242"/>
      <c r="N10" s="242"/>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Z39"/>
  <sheetViews>
    <sheetView workbookViewId="0">
      <selection activeCell="M6" sqref="M6"/>
    </sheetView>
  </sheetViews>
  <sheetFormatPr defaultColWidth="9.140625" defaultRowHeight="15" x14ac:dyDescent="0.25"/>
  <cols>
    <col min="1" max="1" width="11.5703125" style="26" customWidth="1"/>
    <col min="2" max="2" width="8.28515625" style="30" customWidth="1"/>
    <col min="3" max="3" width="6.5703125" style="26" customWidth="1"/>
    <col min="4" max="4" width="12.5703125" style="26" customWidth="1"/>
    <col min="5" max="6" width="7.7109375" style="26" customWidth="1"/>
    <col min="7" max="7" width="5.28515625" style="26" customWidth="1"/>
    <col min="8" max="9" width="7.28515625" style="26" customWidth="1"/>
    <col min="10" max="10" width="9.85546875" style="26" customWidth="1"/>
    <col min="11" max="11" width="10.7109375" style="26" customWidth="1"/>
    <col min="12" max="12" width="8.42578125" style="26" customWidth="1"/>
    <col min="13" max="13" width="8.28515625" style="26" customWidth="1"/>
    <col min="14" max="15" width="9.140625" style="26"/>
    <col min="16" max="16" width="9.85546875" style="26" customWidth="1"/>
    <col min="17" max="17" width="10" style="26" customWidth="1"/>
    <col min="18" max="18" width="12.42578125" style="26" customWidth="1"/>
    <col min="19" max="19" width="13" style="26" customWidth="1"/>
    <col min="20" max="20" width="13.28515625" style="26" customWidth="1"/>
    <col min="21" max="21" width="18.28515625" style="26" customWidth="1"/>
    <col min="22" max="23" width="9.140625" style="26"/>
    <col min="24" max="24" width="5.85546875" style="26" customWidth="1"/>
    <col min="25" max="25" width="6.85546875" style="26" customWidth="1"/>
    <col min="26" max="26" width="5.5703125" style="26" customWidth="1"/>
    <col min="27" max="16384" width="9.140625" style="26"/>
  </cols>
  <sheetData>
    <row r="1" spans="1:26" x14ac:dyDescent="0.25">
      <c r="A1" s="48" t="s">
        <v>646</v>
      </c>
      <c r="B1" s="49" t="s">
        <v>68</v>
      </c>
      <c r="C1" s="50" t="s">
        <v>647</v>
      </c>
      <c r="D1" s="51" t="s">
        <v>648</v>
      </c>
      <c r="E1" s="52" t="s">
        <v>649</v>
      </c>
      <c r="F1" s="53" t="s">
        <v>650</v>
      </c>
      <c r="G1" s="53" t="s">
        <v>651</v>
      </c>
      <c r="H1" s="53" t="s">
        <v>652</v>
      </c>
      <c r="I1" s="53" t="s">
        <v>653</v>
      </c>
      <c r="J1" s="53" t="s">
        <v>758</v>
      </c>
      <c r="K1" s="48" t="s">
        <v>654</v>
      </c>
      <c r="L1" s="50" t="s">
        <v>655</v>
      </c>
      <c r="M1" s="53" t="s">
        <v>656</v>
      </c>
      <c r="N1" s="53" t="s">
        <v>657</v>
      </c>
      <c r="O1" s="53" t="s">
        <v>658</v>
      </c>
      <c r="P1" s="53" t="s">
        <v>659</v>
      </c>
      <c r="Q1" s="54" t="s">
        <v>660</v>
      </c>
      <c r="R1" s="52" t="s">
        <v>661</v>
      </c>
      <c r="S1" s="53" t="s">
        <v>662</v>
      </c>
      <c r="T1" s="48" t="s">
        <v>663</v>
      </c>
      <c r="U1" s="50" t="s">
        <v>664</v>
      </c>
      <c r="V1" s="53" t="s">
        <v>665</v>
      </c>
      <c r="W1" s="53" t="s">
        <v>666</v>
      </c>
      <c r="X1" s="53" t="s">
        <v>667</v>
      </c>
      <c r="Y1" s="53" t="s">
        <v>668</v>
      </c>
      <c r="Z1" s="53" t="s">
        <v>669</v>
      </c>
    </row>
    <row r="2" spans="1:26" x14ac:dyDescent="0.25">
      <c r="A2" s="61"/>
      <c r="B2" s="62" t="s">
        <v>0</v>
      </c>
      <c r="C2" s="63" t="s">
        <v>0</v>
      </c>
      <c r="D2" s="64"/>
      <c r="E2" s="65"/>
      <c r="F2" s="62"/>
      <c r="G2" s="62"/>
      <c r="H2" s="62" t="s">
        <v>0</v>
      </c>
      <c r="I2" s="62" t="s">
        <v>0</v>
      </c>
      <c r="J2" s="62" t="s">
        <v>0</v>
      </c>
      <c r="K2" s="61"/>
      <c r="L2" s="63" t="s">
        <v>89</v>
      </c>
      <c r="M2" s="62" t="s">
        <v>21</v>
      </c>
      <c r="N2" s="62" t="s">
        <v>90</v>
      </c>
      <c r="O2" s="62" t="s">
        <v>90</v>
      </c>
      <c r="P2" s="62" t="s">
        <v>90</v>
      </c>
      <c r="Q2" s="64" t="s">
        <v>90</v>
      </c>
      <c r="R2" s="65"/>
      <c r="S2" s="62"/>
      <c r="T2" s="61" t="s">
        <v>0</v>
      </c>
      <c r="U2" s="63" t="s">
        <v>0</v>
      </c>
      <c r="V2" s="62" t="s">
        <v>24</v>
      </c>
      <c r="W2" s="62" t="s">
        <v>0</v>
      </c>
      <c r="X2" s="62" t="s">
        <v>688</v>
      </c>
      <c r="Y2" s="62"/>
      <c r="Z2" s="62"/>
    </row>
    <row r="3" spans="1:26" x14ac:dyDescent="0.25">
      <c r="A3" s="69" t="s">
        <v>617</v>
      </c>
      <c r="B3" s="70">
        <v>500</v>
      </c>
      <c r="C3" s="71">
        <v>400</v>
      </c>
      <c r="D3" s="72" t="s">
        <v>689</v>
      </c>
      <c r="E3" s="73">
        <v>3</v>
      </c>
      <c r="F3" s="70">
        <v>3</v>
      </c>
      <c r="G3" s="70"/>
      <c r="H3" s="70">
        <v>25</v>
      </c>
      <c r="I3" s="70">
        <v>8</v>
      </c>
      <c r="J3" s="74">
        <v>35</v>
      </c>
      <c r="K3" s="70">
        <v>0</v>
      </c>
      <c r="L3" s="70"/>
      <c r="M3" s="73">
        <v>4500</v>
      </c>
      <c r="N3" s="70">
        <v>125</v>
      </c>
      <c r="O3" s="70">
        <v>125</v>
      </c>
      <c r="P3" s="70">
        <v>75</v>
      </c>
      <c r="Q3" s="74">
        <v>75</v>
      </c>
      <c r="R3" s="73">
        <v>1</v>
      </c>
      <c r="S3" s="70">
        <v>1</v>
      </c>
      <c r="T3" s="118">
        <v>3150</v>
      </c>
      <c r="U3" s="119">
        <v>3159</v>
      </c>
      <c r="V3" s="70">
        <v>50</v>
      </c>
      <c r="W3" s="70">
        <v>1800</v>
      </c>
      <c r="X3" s="70">
        <v>28</v>
      </c>
      <c r="Y3" s="154">
        <v>0.65</v>
      </c>
      <c r="Z3" s="154">
        <v>0.65</v>
      </c>
    </row>
    <row r="4" spans="1:26" x14ac:dyDescent="0.25">
      <c r="A4" s="69" t="s">
        <v>692</v>
      </c>
      <c r="B4" s="70">
        <v>500</v>
      </c>
      <c r="C4" s="71"/>
      <c r="D4" s="72" t="s">
        <v>689</v>
      </c>
      <c r="E4" s="73"/>
      <c r="F4" s="70"/>
      <c r="G4" s="70">
        <v>10</v>
      </c>
      <c r="H4" s="70">
        <v>25</v>
      </c>
      <c r="I4" s="70">
        <v>8</v>
      </c>
      <c r="J4" s="74">
        <v>35</v>
      </c>
      <c r="K4" s="70">
        <v>0</v>
      </c>
      <c r="L4" s="70"/>
      <c r="M4" s="73">
        <v>5000</v>
      </c>
      <c r="N4" s="70">
        <v>125</v>
      </c>
      <c r="O4" s="70">
        <v>-125</v>
      </c>
      <c r="P4" s="70">
        <v>80</v>
      </c>
      <c r="Q4" s="74">
        <v>-80</v>
      </c>
      <c r="R4" s="73">
        <v>1</v>
      </c>
      <c r="S4" s="70">
        <v>1</v>
      </c>
      <c r="T4" s="118">
        <v>2750</v>
      </c>
      <c r="U4" s="119">
        <v>2900</v>
      </c>
      <c r="V4" s="70">
        <v>50</v>
      </c>
      <c r="W4" s="70">
        <v>1570</v>
      </c>
      <c r="X4" s="70">
        <v>28</v>
      </c>
      <c r="Y4" s="154">
        <v>0.8</v>
      </c>
      <c r="Z4" s="154">
        <v>0.8</v>
      </c>
    </row>
    <row r="5" spans="1:26" x14ac:dyDescent="0.25">
      <c r="A5" s="69" t="s">
        <v>617</v>
      </c>
      <c r="B5" s="70">
        <v>400</v>
      </c>
      <c r="C5" s="71">
        <v>300</v>
      </c>
      <c r="D5" s="72" t="s">
        <v>155</v>
      </c>
      <c r="E5" s="73">
        <v>2</v>
      </c>
      <c r="F5" s="70">
        <v>3</v>
      </c>
      <c r="G5" s="70"/>
      <c r="H5" s="70">
        <v>25</v>
      </c>
      <c r="I5" s="70">
        <v>8</v>
      </c>
      <c r="J5" s="74">
        <v>35</v>
      </c>
      <c r="K5" s="70">
        <v>1</v>
      </c>
      <c r="L5" s="153" t="s">
        <v>966</v>
      </c>
      <c r="M5" s="73">
        <v>2200</v>
      </c>
      <c r="N5" s="70"/>
      <c r="O5" s="70"/>
      <c r="P5" s="70">
        <v>75</v>
      </c>
      <c r="Q5" s="74">
        <v>50</v>
      </c>
      <c r="R5" s="73"/>
      <c r="S5" s="70">
        <v>1</v>
      </c>
      <c r="T5" s="118"/>
      <c r="U5" s="119">
        <v>3000</v>
      </c>
      <c r="V5" s="70">
        <v>50</v>
      </c>
      <c r="W5" s="70">
        <v>1400</v>
      </c>
      <c r="X5" s="70">
        <v>28</v>
      </c>
      <c r="Y5" s="154">
        <v>0.8</v>
      </c>
      <c r="Z5" s="154">
        <v>0.8</v>
      </c>
    </row>
    <row r="6" spans="1:26" x14ac:dyDescent="0.25">
      <c r="A6" s="69" t="s">
        <v>617</v>
      </c>
      <c r="B6" s="70">
        <v>400</v>
      </c>
      <c r="C6" s="71">
        <v>400</v>
      </c>
      <c r="D6" s="72" t="s">
        <v>689</v>
      </c>
      <c r="E6" s="73">
        <v>3</v>
      </c>
      <c r="F6" s="70">
        <v>3</v>
      </c>
      <c r="G6" s="70"/>
      <c r="H6" s="70">
        <v>25</v>
      </c>
      <c r="I6" s="70">
        <v>8</v>
      </c>
      <c r="J6" s="74">
        <v>35</v>
      </c>
      <c r="K6" s="70">
        <v>1</v>
      </c>
      <c r="L6" s="70" t="s">
        <v>691</v>
      </c>
      <c r="M6" s="73">
        <v>2500</v>
      </c>
      <c r="N6" s="70">
        <v>100</v>
      </c>
      <c r="O6" s="70">
        <v>75</v>
      </c>
      <c r="P6" s="70"/>
      <c r="Q6" s="74"/>
      <c r="R6" s="73">
        <v>0</v>
      </c>
      <c r="S6" s="70"/>
      <c r="T6" s="118">
        <v>2750</v>
      </c>
      <c r="U6" s="119"/>
      <c r="V6" s="70">
        <v>50</v>
      </c>
      <c r="W6" s="70">
        <v>1600</v>
      </c>
      <c r="X6" s="70">
        <v>28</v>
      </c>
      <c r="Y6" s="154">
        <v>0.8</v>
      </c>
      <c r="Z6" s="154">
        <v>0.8</v>
      </c>
    </row>
    <row r="7" spans="1:26" x14ac:dyDescent="0.25">
      <c r="A7" s="69" t="s">
        <v>692</v>
      </c>
      <c r="B7" s="70">
        <v>450</v>
      </c>
      <c r="C7" s="71"/>
      <c r="D7" s="72" t="s">
        <v>690</v>
      </c>
      <c r="E7" s="85"/>
      <c r="F7" s="86"/>
      <c r="G7" s="86">
        <v>8</v>
      </c>
      <c r="H7" s="86">
        <v>25</v>
      </c>
      <c r="I7" s="86">
        <v>8</v>
      </c>
      <c r="J7" s="87">
        <v>35</v>
      </c>
      <c r="K7" s="86">
        <v>1</v>
      </c>
      <c r="L7" s="86"/>
      <c r="M7" s="85">
        <v>3000</v>
      </c>
      <c r="N7" s="86">
        <v>120</v>
      </c>
      <c r="O7" s="86">
        <v>100</v>
      </c>
      <c r="P7" s="86"/>
      <c r="Q7" s="87"/>
      <c r="R7" s="85">
        <v>1</v>
      </c>
      <c r="S7" s="86"/>
      <c r="T7" s="127">
        <v>2900</v>
      </c>
      <c r="U7" s="128"/>
      <c r="V7" s="86">
        <v>50</v>
      </c>
      <c r="W7" s="86">
        <v>1413.72</v>
      </c>
      <c r="X7" s="86">
        <v>28</v>
      </c>
      <c r="Y7" s="160">
        <v>0.75</v>
      </c>
      <c r="Z7" s="160">
        <v>0.75</v>
      </c>
    </row>
    <row r="8" spans="1:26" x14ac:dyDescent="0.25">
      <c r="A8" s="69"/>
      <c r="B8" s="70"/>
      <c r="C8" s="71"/>
      <c r="D8" s="72"/>
      <c r="E8" s="85"/>
      <c r="F8" s="86"/>
      <c r="G8" s="86"/>
      <c r="H8" s="86"/>
      <c r="I8" s="86"/>
      <c r="J8" s="87"/>
      <c r="K8" s="86"/>
      <c r="L8" s="86"/>
      <c r="M8" s="85"/>
      <c r="N8" s="86"/>
      <c r="O8" s="86"/>
      <c r="P8" s="86"/>
      <c r="Q8" s="87"/>
      <c r="R8" s="85"/>
      <c r="S8" s="86"/>
      <c r="T8" s="127"/>
      <c r="U8" s="128"/>
      <c r="V8" s="86"/>
      <c r="W8" s="86"/>
      <c r="X8" s="86"/>
      <c r="Y8" s="160"/>
      <c r="Z8" s="160"/>
    </row>
    <row r="9" spans="1:26" x14ac:dyDescent="0.25">
      <c r="A9" s="69"/>
      <c r="B9" s="70"/>
      <c r="C9" s="71"/>
      <c r="D9" s="72"/>
      <c r="E9" s="85"/>
      <c r="F9" s="86"/>
      <c r="G9" s="86"/>
      <c r="H9" s="86"/>
      <c r="I9" s="86"/>
      <c r="J9" s="87"/>
      <c r="K9" s="86"/>
      <c r="L9" s="86"/>
      <c r="M9" s="85"/>
      <c r="N9" s="86"/>
      <c r="O9" s="86"/>
      <c r="P9" s="86"/>
      <c r="Q9" s="87"/>
      <c r="R9" s="85"/>
      <c r="S9" s="86"/>
      <c r="T9" s="127"/>
      <c r="U9" s="128"/>
      <c r="V9" s="86"/>
      <c r="W9" s="86"/>
      <c r="X9" s="86"/>
      <c r="Y9" s="160"/>
      <c r="Z9" s="160"/>
    </row>
    <row r="10" spans="1:26" x14ac:dyDescent="0.25">
      <c r="A10" s="69"/>
      <c r="B10" s="70"/>
      <c r="C10" s="71"/>
      <c r="D10" s="87"/>
      <c r="E10" s="194"/>
      <c r="F10" s="157"/>
      <c r="G10" s="157"/>
      <c r="H10" s="157"/>
      <c r="I10" s="157"/>
      <c r="J10" s="159"/>
      <c r="K10" s="157"/>
      <c r="L10" s="157"/>
      <c r="M10" s="194"/>
      <c r="N10" s="157"/>
      <c r="O10" s="157"/>
      <c r="P10" s="157"/>
      <c r="Q10" s="159"/>
      <c r="R10" s="85"/>
      <c r="S10" s="86"/>
      <c r="T10" s="127"/>
      <c r="U10" s="137"/>
      <c r="V10" s="86"/>
      <c r="W10" s="86"/>
      <c r="X10" s="86"/>
      <c r="Y10" s="160"/>
      <c r="Z10" s="160"/>
    </row>
    <row r="11" spans="1:26" x14ac:dyDescent="0.25">
      <c r="A11" s="98" t="s">
        <v>693</v>
      </c>
      <c r="B11" s="98"/>
      <c r="C11" s="99"/>
      <c r="D11" s="100" t="s">
        <v>694</v>
      </c>
      <c r="E11" s="101" t="s">
        <v>695</v>
      </c>
      <c r="F11" s="102"/>
      <c r="G11" s="102"/>
      <c r="H11" s="102"/>
      <c r="I11" s="102"/>
      <c r="J11" s="100"/>
      <c r="K11" s="103" t="s">
        <v>696</v>
      </c>
      <c r="L11" s="103"/>
      <c r="M11" s="101" t="s">
        <v>697</v>
      </c>
      <c r="N11" s="102"/>
      <c r="O11" s="102"/>
      <c r="P11" s="102"/>
      <c r="Q11" s="100"/>
      <c r="R11" s="101" t="s">
        <v>698</v>
      </c>
      <c r="S11" s="102"/>
      <c r="T11" s="167" t="s">
        <v>967</v>
      </c>
      <c r="U11" s="195"/>
      <c r="V11" s="103" t="s">
        <v>699</v>
      </c>
      <c r="W11" s="102"/>
      <c r="X11" s="102"/>
      <c r="Y11" s="102"/>
      <c r="Z11" s="102"/>
    </row>
    <row r="12" spans="1:26" x14ac:dyDescent="0.25">
      <c r="E12" s="30"/>
      <c r="H12" s="30"/>
      <c r="I12" s="30"/>
      <c r="K12" s="30"/>
      <c r="M12" s="30"/>
      <c r="O12" s="30"/>
      <c r="Q12" s="30"/>
      <c r="S12" s="30"/>
      <c r="W12" s="30"/>
      <c r="Y12" s="30"/>
    </row>
    <row r="26" spans="18:18" x14ac:dyDescent="0.25">
      <c r="R26" s="30"/>
    </row>
    <row r="27" spans="18:18" x14ac:dyDescent="0.25">
      <c r="R27" s="30"/>
    </row>
    <row r="28" spans="18:18" x14ac:dyDescent="0.25">
      <c r="R28" s="30"/>
    </row>
    <row r="29" spans="18:18" x14ac:dyDescent="0.25">
      <c r="R29" s="30"/>
    </row>
    <row r="30" spans="18:18" x14ac:dyDescent="0.25">
      <c r="R30" s="30"/>
    </row>
    <row r="38" spans="25:25" x14ac:dyDescent="0.25">
      <c r="Y38" s="30"/>
    </row>
    <row r="39" spans="25:25" x14ac:dyDescent="0.25">
      <c r="Y39" s="30"/>
    </row>
  </sheetData>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2"/>
  <dimension ref="A1:G11"/>
  <sheetViews>
    <sheetView workbookViewId="0"/>
  </sheetViews>
  <sheetFormatPr defaultRowHeight="15" x14ac:dyDescent="0.25"/>
  <cols>
    <col min="1" max="4" width="15.5703125" customWidth="1"/>
    <col min="5" max="5" width="13.42578125" customWidth="1"/>
    <col min="6" max="6" width="15.5703125" customWidth="1"/>
    <col min="7" max="7" width="16.7109375" customWidth="1"/>
  </cols>
  <sheetData>
    <row r="1" spans="1:7" x14ac:dyDescent="0.25">
      <c r="A1" s="48" t="s">
        <v>715</v>
      </c>
      <c r="B1" s="50" t="s">
        <v>716</v>
      </c>
      <c r="C1" s="49" t="s">
        <v>717</v>
      </c>
      <c r="D1" s="50" t="s">
        <v>718</v>
      </c>
      <c r="E1" s="116" t="s">
        <v>719</v>
      </c>
      <c r="F1" s="49" t="s">
        <v>720</v>
      </c>
      <c r="G1" s="49" t="s">
        <v>721</v>
      </c>
    </row>
    <row r="2" spans="1:7" x14ac:dyDescent="0.25">
      <c r="A2" s="61" t="s">
        <v>90</v>
      </c>
      <c r="B2" s="63" t="s">
        <v>90</v>
      </c>
      <c r="C2" s="62" t="s">
        <v>90</v>
      </c>
      <c r="D2" s="63" t="s">
        <v>90</v>
      </c>
      <c r="E2" s="68"/>
      <c r="F2" s="62" t="s">
        <v>90</v>
      </c>
      <c r="G2" s="62" t="s">
        <v>90</v>
      </c>
    </row>
    <row r="3" spans="1:7" x14ac:dyDescent="0.25">
      <c r="A3" s="118"/>
      <c r="B3" s="119"/>
      <c r="C3" s="120"/>
      <c r="D3" s="119"/>
      <c r="E3" s="121"/>
      <c r="F3" s="122"/>
      <c r="G3" s="120"/>
    </row>
    <row r="4" spans="1:7" x14ac:dyDescent="0.25">
      <c r="A4" s="118"/>
      <c r="B4" s="119"/>
      <c r="C4" s="120"/>
      <c r="D4" s="119"/>
      <c r="E4" s="121"/>
      <c r="F4" s="122"/>
      <c r="G4" s="120"/>
    </row>
    <row r="5" spans="1:7" x14ac:dyDescent="0.25">
      <c r="A5" s="118"/>
      <c r="B5" s="119"/>
      <c r="C5" s="120"/>
      <c r="D5" s="119"/>
      <c r="E5" s="121"/>
      <c r="F5" s="122"/>
      <c r="G5" s="120"/>
    </row>
    <row r="6" spans="1:7" x14ac:dyDescent="0.25">
      <c r="A6" s="118"/>
      <c r="B6" s="119"/>
      <c r="C6" s="120"/>
      <c r="D6" s="119"/>
      <c r="E6" s="121"/>
      <c r="F6" s="122"/>
      <c r="G6" s="120"/>
    </row>
    <row r="7" spans="1:7" x14ac:dyDescent="0.25">
      <c r="A7" s="127"/>
      <c r="B7" s="128"/>
      <c r="C7" s="129"/>
      <c r="D7" s="128"/>
      <c r="E7" s="130"/>
      <c r="F7" s="131"/>
      <c r="G7" s="129"/>
    </row>
    <row r="8" spans="1:7" x14ac:dyDescent="0.25">
      <c r="A8" s="127"/>
      <c r="B8" s="128"/>
      <c r="C8" s="129"/>
      <c r="D8" s="128"/>
      <c r="E8" s="130"/>
      <c r="F8" s="131"/>
      <c r="G8" s="131"/>
    </row>
    <row r="9" spans="1:7" x14ac:dyDescent="0.25">
      <c r="A9" s="127"/>
      <c r="B9" s="128"/>
      <c r="C9" s="129"/>
      <c r="D9" s="128"/>
      <c r="E9" s="130"/>
      <c r="F9" s="131"/>
      <c r="G9" s="131"/>
    </row>
    <row r="10" spans="1:7" x14ac:dyDescent="0.25">
      <c r="A10" s="136"/>
      <c r="B10" s="137"/>
      <c r="C10" s="138"/>
      <c r="D10" s="137"/>
      <c r="E10" s="139"/>
      <c r="F10" s="140"/>
      <c r="G10" s="140"/>
    </row>
    <row r="11" spans="1:7" x14ac:dyDescent="0.25">
      <c r="A11" s="147" t="s">
        <v>742</v>
      </c>
      <c r="B11" s="148"/>
      <c r="C11" s="147" t="s">
        <v>743</v>
      </c>
      <c r="D11" s="148"/>
      <c r="E11" s="149" t="s">
        <v>744</v>
      </c>
      <c r="F11" s="150" t="s">
        <v>745</v>
      </c>
      <c r="G11" s="150"/>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3"/>
  <dimension ref="A1:Z8"/>
  <sheetViews>
    <sheetView workbookViewId="0">
      <selection activeCell="A3" sqref="A3"/>
    </sheetView>
  </sheetViews>
  <sheetFormatPr defaultRowHeight="15" x14ac:dyDescent="0.25"/>
  <cols>
    <col min="1" max="2" width="16.42578125" customWidth="1"/>
    <col min="11" max="11" width="11.85546875" bestFit="1" customWidth="1"/>
    <col min="12" max="12" width="11" bestFit="1" customWidth="1"/>
    <col min="14" max="14" width="12.28515625" bestFit="1" customWidth="1"/>
    <col min="15" max="15" width="12.140625" bestFit="1" customWidth="1"/>
    <col min="16" max="16" width="11.28515625" bestFit="1" customWidth="1"/>
    <col min="23" max="23" width="9.42578125" bestFit="1" customWidth="1"/>
    <col min="24" max="24" width="10.85546875" bestFit="1" customWidth="1"/>
    <col min="25" max="25" width="9.42578125" bestFit="1" customWidth="1"/>
    <col min="26" max="26" width="10.85546875" bestFit="1" customWidth="1"/>
  </cols>
  <sheetData>
    <row r="1" spans="1:26" x14ac:dyDescent="0.25">
      <c r="A1" s="2" t="s">
        <v>968</v>
      </c>
      <c r="B1" s="2" t="s">
        <v>969</v>
      </c>
      <c r="C1" s="2" t="s">
        <v>1018</v>
      </c>
      <c r="D1" s="2" t="s">
        <v>1019</v>
      </c>
      <c r="E1" s="2" t="s">
        <v>975</v>
      </c>
      <c r="F1" s="2" t="s">
        <v>976</v>
      </c>
      <c r="G1" s="2" t="s">
        <v>977</v>
      </c>
      <c r="H1" s="199" t="s">
        <v>978</v>
      </c>
      <c r="I1" s="2" t="s">
        <v>979</v>
      </c>
      <c r="J1" s="2" t="s">
        <v>980</v>
      </c>
      <c r="K1" s="2" t="s">
        <v>981</v>
      </c>
      <c r="L1" s="2" t="s">
        <v>1020</v>
      </c>
      <c r="M1" s="200" t="s">
        <v>1021</v>
      </c>
      <c r="N1" s="196" t="s">
        <v>985</v>
      </c>
      <c r="O1" s="196" t="s">
        <v>986</v>
      </c>
      <c r="P1" s="201" t="s">
        <v>987</v>
      </c>
      <c r="Q1" s="196" t="s">
        <v>988</v>
      </c>
      <c r="R1" s="196" t="s">
        <v>989</v>
      </c>
      <c r="S1" s="196" t="s">
        <v>990</v>
      </c>
      <c r="T1" s="201" t="s">
        <v>991</v>
      </c>
      <c r="U1" s="196" t="s">
        <v>177</v>
      </c>
      <c r="V1" s="196" t="s">
        <v>992</v>
      </c>
      <c r="W1" s="196" t="s">
        <v>993</v>
      </c>
      <c r="X1" s="196" t="s">
        <v>994</v>
      </c>
      <c r="Y1" s="196" t="s">
        <v>995</v>
      </c>
      <c r="Z1" s="201" t="s">
        <v>996</v>
      </c>
    </row>
    <row r="2" spans="1:26" x14ac:dyDescent="0.25">
      <c r="A2" s="2"/>
      <c r="B2" s="2"/>
      <c r="C2" s="2" t="s">
        <v>179</v>
      </c>
      <c r="D2" s="2" t="s">
        <v>179</v>
      </c>
      <c r="E2" s="2"/>
      <c r="F2" s="2" t="s">
        <v>179</v>
      </c>
      <c r="G2" s="2" t="s">
        <v>179</v>
      </c>
      <c r="H2" s="199" t="s">
        <v>179</v>
      </c>
      <c r="I2" s="2" t="s">
        <v>179</v>
      </c>
      <c r="J2" s="2"/>
      <c r="K2" s="2"/>
      <c r="L2" s="2"/>
      <c r="M2" s="196" t="s">
        <v>179</v>
      </c>
      <c r="N2" s="196" t="s">
        <v>41</v>
      </c>
      <c r="O2" s="196" t="s">
        <v>41</v>
      </c>
      <c r="P2" s="201" t="s">
        <v>41</v>
      </c>
      <c r="Q2" s="196" t="s">
        <v>41</v>
      </c>
      <c r="R2" s="196" t="s">
        <v>41</v>
      </c>
      <c r="S2" s="196" t="s">
        <v>997</v>
      </c>
      <c r="T2" s="201" t="s">
        <v>997</v>
      </c>
      <c r="U2" s="196" t="s">
        <v>180</v>
      </c>
      <c r="V2" s="196" t="s">
        <v>331</v>
      </c>
      <c r="W2" s="196"/>
      <c r="X2" s="196"/>
      <c r="Y2" s="196"/>
      <c r="Z2" s="201"/>
    </row>
    <row r="3" spans="1:26" x14ac:dyDescent="0.25">
      <c r="A3" s="15" t="s">
        <v>998</v>
      </c>
      <c r="B3" s="15" t="s">
        <v>1022</v>
      </c>
      <c r="C3" s="15">
        <v>18</v>
      </c>
      <c r="D3" s="15">
        <v>18</v>
      </c>
      <c r="E3" s="15">
        <v>1</v>
      </c>
      <c r="F3" s="15">
        <v>18</v>
      </c>
      <c r="G3" s="15">
        <v>24</v>
      </c>
      <c r="H3" s="202">
        <v>24</v>
      </c>
      <c r="I3" s="15">
        <v>48</v>
      </c>
      <c r="J3" s="15">
        <v>4</v>
      </c>
      <c r="K3" s="15" t="s">
        <v>1022</v>
      </c>
      <c r="L3" s="15" t="s">
        <v>692</v>
      </c>
      <c r="M3" s="15">
        <v>24</v>
      </c>
      <c r="N3" s="15">
        <v>300</v>
      </c>
      <c r="O3" s="15">
        <v>0</v>
      </c>
      <c r="P3" s="202">
        <v>25</v>
      </c>
      <c r="Q3" s="15">
        <v>180</v>
      </c>
      <c r="R3" s="15">
        <v>307</v>
      </c>
      <c r="S3" s="15">
        <v>25</v>
      </c>
      <c r="T3" s="202">
        <v>100</v>
      </c>
      <c r="U3" s="15">
        <v>3000</v>
      </c>
      <c r="V3" s="15">
        <v>60</v>
      </c>
      <c r="W3" s="15">
        <v>15</v>
      </c>
      <c r="X3" s="15">
        <v>8</v>
      </c>
      <c r="Y3" s="15">
        <v>15</v>
      </c>
      <c r="Z3" s="202">
        <v>8</v>
      </c>
    </row>
    <row r="4" spans="1:26" x14ac:dyDescent="0.25">
      <c r="A4" s="15" t="s">
        <v>1004</v>
      </c>
      <c r="B4" s="15" t="s">
        <v>1022</v>
      </c>
      <c r="C4" s="15">
        <v>18</v>
      </c>
      <c r="D4" s="15">
        <v>18</v>
      </c>
      <c r="E4" s="15">
        <v>1</v>
      </c>
      <c r="F4" s="15">
        <v>18</v>
      </c>
      <c r="G4" s="15">
        <v>24</v>
      </c>
      <c r="H4" s="202">
        <v>24</v>
      </c>
      <c r="I4" s="15">
        <v>48</v>
      </c>
      <c r="J4" s="15">
        <v>4</v>
      </c>
      <c r="K4" s="15" t="s">
        <v>1022</v>
      </c>
      <c r="L4" s="15" t="s">
        <v>692</v>
      </c>
      <c r="M4" s="15">
        <v>24</v>
      </c>
      <c r="N4" s="15">
        <v>300</v>
      </c>
      <c r="O4" s="15">
        <v>0</v>
      </c>
      <c r="P4" s="202">
        <v>25</v>
      </c>
      <c r="Q4" s="15">
        <v>250</v>
      </c>
      <c r="R4" s="15">
        <v>375</v>
      </c>
      <c r="S4" s="15">
        <v>25</v>
      </c>
      <c r="T4" s="202">
        <v>100</v>
      </c>
      <c r="U4" s="15">
        <v>3000</v>
      </c>
      <c r="V4" s="15">
        <v>60</v>
      </c>
      <c r="W4" s="15">
        <v>15</v>
      </c>
      <c r="X4" s="15">
        <v>8</v>
      </c>
      <c r="Y4" s="15">
        <v>15</v>
      </c>
      <c r="Z4" s="202">
        <v>8</v>
      </c>
    </row>
    <row r="5" spans="1:26" x14ac:dyDescent="0.25">
      <c r="A5" s="15" t="s">
        <v>1005</v>
      </c>
      <c r="B5" s="15" t="s">
        <v>1022</v>
      </c>
      <c r="C5" s="15">
        <v>24</v>
      </c>
      <c r="D5" s="15">
        <v>24</v>
      </c>
      <c r="E5" s="15">
        <v>1</v>
      </c>
      <c r="F5" s="15">
        <v>18</v>
      </c>
      <c r="G5" s="15">
        <v>36</v>
      </c>
      <c r="H5" s="202">
        <v>36</v>
      </c>
      <c r="I5" s="15">
        <v>48</v>
      </c>
      <c r="J5" s="15">
        <v>6</v>
      </c>
      <c r="K5" s="15" t="s">
        <v>1022</v>
      </c>
      <c r="L5" s="15" t="s">
        <v>692</v>
      </c>
      <c r="M5" s="15">
        <v>24</v>
      </c>
      <c r="N5" s="15">
        <v>300</v>
      </c>
      <c r="O5" s="15">
        <v>0</v>
      </c>
      <c r="P5" s="202">
        <v>25</v>
      </c>
      <c r="Q5" s="15">
        <v>220</v>
      </c>
      <c r="R5" s="15">
        <v>390</v>
      </c>
      <c r="S5" s="15">
        <v>25</v>
      </c>
      <c r="T5" s="202">
        <v>100</v>
      </c>
      <c r="U5" s="15">
        <v>3000</v>
      </c>
      <c r="V5" s="15">
        <v>60</v>
      </c>
      <c r="W5" s="15">
        <v>18</v>
      </c>
      <c r="X5" s="15">
        <v>10</v>
      </c>
      <c r="Y5" s="15">
        <v>18</v>
      </c>
      <c r="Z5" s="202">
        <v>10</v>
      </c>
    </row>
    <row r="6" spans="1:26" x14ac:dyDescent="0.25">
      <c r="A6" s="15" t="s">
        <v>1007</v>
      </c>
      <c r="B6" s="15" t="s">
        <v>1022</v>
      </c>
      <c r="C6" s="15">
        <v>24</v>
      </c>
      <c r="D6" s="15">
        <v>24</v>
      </c>
      <c r="E6" s="15">
        <v>1</v>
      </c>
      <c r="F6" s="15">
        <v>18</v>
      </c>
      <c r="G6" s="15">
        <v>36</v>
      </c>
      <c r="H6" s="202">
        <v>36</v>
      </c>
      <c r="I6" s="15">
        <v>48</v>
      </c>
      <c r="J6" s="15">
        <v>6</v>
      </c>
      <c r="K6" s="15" t="s">
        <v>1022</v>
      </c>
      <c r="L6" s="15" t="s">
        <v>692</v>
      </c>
      <c r="M6" s="15">
        <v>24</v>
      </c>
      <c r="N6" s="15">
        <v>300</v>
      </c>
      <c r="O6" s="15">
        <v>0</v>
      </c>
      <c r="P6" s="202">
        <v>25</v>
      </c>
      <c r="Q6" s="15">
        <v>90</v>
      </c>
      <c r="R6" s="15">
        <v>425</v>
      </c>
      <c r="S6" s="15">
        <v>25</v>
      </c>
      <c r="T6" s="202">
        <v>100</v>
      </c>
      <c r="U6" s="15">
        <v>3000</v>
      </c>
      <c r="V6" s="15">
        <v>60</v>
      </c>
      <c r="W6" s="15">
        <v>18</v>
      </c>
      <c r="X6" s="15">
        <v>10</v>
      </c>
      <c r="Y6" s="15">
        <v>18</v>
      </c>
      <c r="Z6" s="202">
        <v>10</v>
      </c>
    </row>
    <row r="7" spans="1:26" x14ac:dyDescent="0.25">
      <c r="H7" s="203"/>
      <c r="P7" s="203"/>
      <c r="T7" s="203"/>
      <c r="Z7" s="203"/>
    </row>
    <row r="8" spans="1:26" x14ac:dyDescent="0.25">
      <c r="B8" s="301" t="s">
        <v>1008</v>
      </c>
      <c r="C8" s="302"/>
      <c r="D8" s="302"/>
      <c r="E8" s="302"/>
      <c r="F8" s="302"/>
      <c r="G8" s="302"/>
      <c r="H8" s="303"/>
      <c r="I8" s="197"/>
      <c r="J8" s="302" t="s">
        <v>1009</v>
      </c>
      <c r="K8" s="302"/>
      <c r="L8" s="302"/>
      <c r="M8" s="302"/>
      <c r="N8" s="302"/>
      <c r="O8" s="302"/>
      <c r="P8" s="303"/>
      <c r="Q8" s="301" t="s">
        <v>1010</v>
      </c>
      <c r="R8" s="302"/>
      <c r="S8" s="302"/>
      <c r="T8" s="303"/>
      <c r="U8" s="301" t="s">
        <v>1011</v>
      </c>
      <c r="V8" s="302"/>
      <c r="W8" s="302"/>
      <c r="X8" s="302"/>
      <c r="Y8" s="302"/>
      <c r="Z8" s="303"/>
    </row>
  </sheetData>
  <mergeCells count="4">
    <mergeCell ref="B8:H8"/>
    <mergeCell ref="J8:P8"/>
    <mergeCell ref="Q8:T8"/>
    <mergeCell ref="U8:Z8"/>
  </mergeCells>
  <pageMargins left="0.7" right="0.7" top="0.75" bottom="0.75" header="0.3" footer="0.3"/>
  <pageSetup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4"/>
  <dimension ref="A1:D8"/>
  <sheetViews>
    <sheetView workbookViewId="0">
      <selection activeCell="A3" sqref="A3"/>
    </sheetView>
  </sheetViews>
  <sheetFormatPr defaultRowHeight="15" x14ac:dyDescent="0.25"/>
  <cols>
    <col min="1" max="1" width="9.7109375" bestFit="1" customWidth="1"/>
    <col min="2" max="2" width="12.42578125" bestFit="1" customWidth="1"/>
  </cols>
  <sheetData>
    <row r="1" spans="1:4" x14ac:dyDescent="0.25">
      <c r="A1" s="1" t="s">
        <v>1012</v>
      </c>
      <c r="B1" s="204" t="s">
        <v>1013</v>
      </c>
      <c r="C1" s="198" t="s">
        <v>1014</v>
      </c>
      <c r="D1" s="198" t="s">
        <v>1015</v>
      </c>
    </row>
    <row r="2" spans="1:4" x14ac:dyDescent="0.25">
      <c r="A2" s="1"/>
      <c r="B2" s="204"/>
      <c r="C2" s="198" t="s">
        <v>40</v>
      </c>
      <c r="D2" s="198" t="s">
        <v>40</v>
      </c>
    </row>
    <row r="3" spans="1:4" x14ac:dyDescent="0.25">
      <c r="A3" s="15"/>
      <c r="B3" s="202"/>
      <c r="C3" s="15"/>
      <c r="D3" s="15"/>
    </row>
    <row r="4" spans="1:4" x14ac:dyDescent="0.25">
      <c r="A4" s="15"/>
      <c r="B4" s="202"/>
      <c r="C4" s="15"/>
      <c r="D4" s="15"/>
    </row>
    <row r="5" spans="1:4" x14ac:dyDescent="0.25">
      <c r="A5" s="15"/>
      <c r="B5" s="202"/>
      <c r="C5" s="15"/>
      <c r="D5" s="15"/>
    </row>
    <row r="6" spans="1:4" x14ac:dyDescent="0.25">
      <c r="A6" s="15"/>
      <c r="B6" s="202"/>
      <c r="C6" s="15"/>
      <c r="D6" s="15"/>
    </row>
    <row r="7" spans="1:4" x14ac:dyDescent="0.25">
      <c r="B7" s="203"/>
    </row>
    <row r="8" spans="1:4" x14ac:dyDescent="0.25">
      <c r="A8" s="304" t="s">
        <v>1016</v>
      </c>
      <c r="B8" s="304"/>
      <c r="C8" s="305" t="s">
        <v>1017</v>
      </c>
      <c r="D8" s="306"/>
    </row>
  </sheetData>
  <mergeCells count="2">
    <mergeCell ref="A8:B8"/>
    <mergeCell ref="C8:D8"/>
  </mergeCells>
  <pageMargins left="0.7" right="0.7" top="0.75" bottom="0.75" header="0.3" footer="0.3"/>
  <pageSetup orientation="portrait" horizontalDpi="300" verticalDpi="0" copies="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5"/>
  <dimension ref="A1:AD25"/>
  <sheetViews>
    <sheetView workbookViewId="0">
      <selection activeCell="W37" sqref="W37"/>
    </sheetView>
  </sheetViews>
  <sheetFormatPr defaultRowHeight="15" x14ac:dyDescent="0.25"/>
  <cols>
    <col min="1" max="2" width="16.42578125" customWidth="1"/>
    <col min="3" max="3" width="19" bestFit="1" customWidth="1"/>
    <col min="4" max="4" width="22.5703125" bestFit="1" customWidth="1"/>
    <col min="5" max="5" width="22.5703125" customWidth="1"/>
    <col min="6" max="7" width="7.85546875" bestFit="1" customWidth="1"/>
    <col min="14" max="14" width="11.85546875" bestFit="1" customWidth="1"/>
    <col min="15" max="15" width="15.42578125" bestFit="1" customWidth="1"/>
    <col min="16" max="16" width="19" bestFit="1" customWidth="1"/>
    <col min="17" max="17" width="19" customWidth="1"/>
    <col min="18" max="18" width="12.28515625" bestFit="1" customWidth="1"/>
    <col min="19" max="19" width="12.140625" bestFit="1" customWidth="1"/>
    <col min="20" max="20" width="11.28515625" bestFit="1" customWidth="1"/>
    <col min="27" max="27" width="9.42578125" bestFit="1" customWidth="1"/>
    <col min="28" max="28" width="10.85546875" bestFit="1" customWidth="1"/>
    <col min="29" max="29" width="9.42578125" bestFit="1" customWidth="1"/>
    <col min="30" max="30" width="10.85546875" bestFit="1" customWidth="1"/>
  </cols>
  <sheetData>
    <row r="1" spans="1:30" x14ac:dyDescent="0.25">
      <c r="A1" s="2" t="s">
        <v>968</v>
      </c>
      <c r="B1" s="2" t="s">
        <v>969</v>
      </c>
      <c r="C1" s="2" t="s">
        <v>970</v>
      </c>
      <c r="D1" s="2" t="s">
        <v>971</v>
      </c>
      <c r="E1" s="2" t="s">
        <v>972</v>
      </c>
      <c r="F1" s="2" t="s">
        <v>973</v>
      </c>
      <c r="G1" s="2" t="s">
        <v>974</v>
      </c>
      <c r="H1" s="2" t="s">
        <v>975</v>
      </c>
      <c r="I1" s="2" t="s">
        <v>976</v>
      </c>
      <c r="J1" s="2" t="s">
        <v>977</v>
      </c>
      <c r="K1" s="2" t="s">
        <v>978</v>
      </c>
      <c r="L1" s="2" t="s">
        <v>979</v>
      </c>
      <c r="M1" s="2" t="s">
        <v>980</v>
      </c>
      <c r="N1" s="2" t="s">
        <v>981</v>
      </c>
      <c r="O1" s="2" t="s">
        <v>982</v>
      </c>
      <c r="P1" s="2" t="s">
        <v>983</v>
      </c>
      <c r="Q1" s="2" t="s">
        <v>984</v>
      </c>
      <c r="R1" s="196" t="s">
        <v>985</v>
      </c>
      <c r="S1" s="196" t="s">
        <v>986</v>
      </c>
      <c r="T1" s="196" t="s">
        <v>987</v>
      </c>
      <c r="U1" s="196" t="s">
        <v>988</v>
      </c>
      <c r="V1" s="196" t="s">
        <v>989</v>
      </c>
      <c r="W1" s="196" t="s">
        <v>990</v>
      </c>
      <c r="X1" s="196" t="s">
        <v>991</v>
      </c>
      <c r="Y1" s="196" t="s">
        <v>177</v>
      </c>
      <c r="Z1" s="196" t="s">
        <v>992</v>
      </c>
      <c r="AA1" s="196" t="s">
        <v>993</v>
      </c>
      <c r="AB1" s="196" t="s">
        <v>994</v>
      </c>
      <c r="AC1" s="196" t="s">
        <v>995</v>
      </c>
      <c r="AD1" s="196" t="s">
        <v>996</v>
      </c>
    </row>
    <row r="2" spans="1:30" x14ac:dyDescent="0.25">
      <c r="A2" s="2" t="s">
        <v>89</v>
      </c>
      <c r="B2" s="2"/>
      <c r="C2" s="2" t="s">
        <v>89</v>
      </c>
      <c r="D2" s="2" t="s">
        <v>89</v>
      </c>
      <c r="E2" s="2" t="s">
        <v>89</v>
      </c>
      <c r="F2" s="2" t="s">
        <v>179</v>
      </c>
      <c r="G2" s="2" t="s">
        <v>179</v>
      </c>
      <c r="H2" s="2"/>
      <c r="I2" s="2" t="s">
        <v>179</v>
      </c>
      <c r="J2" s="2" t="s">
        <v>179</v>
      </c>
      <c r="K2" s="2" t="s">
        <v>179</v>
      </c>
      <c r="L2" s="2" t="s">
        <v>179</v>
      </c>
      <c r="M2" s="2"/>
      <c r="N2" s="2"/>
      <c r="O2" s="2" t="s">
        <v>89</v>
      </c>
      <c r="P2" s="2" t="s">
        <v>89</v>
      </c>
      <c r="Q2" s="2"/>
      <c r="R2" s="196" t="s">
        <v>41</v>
      </c>
      <c r="S2" s="196" t="s">
        <v>41</v>
      </c>
      <c r="T2" s="196" t="s">
        <v>41</v>
      </c>
      <c r="U2" s="196" t="s">
        <v>41</v>
      </c>
      <c r="V2" s="196" t="s">
        <v>41</v>
      </c>
      <c r="W2" s="196" t="s">
        <v>997</v>
      </c>
      <c r="X2" s="196" t="s">
        <v>997</v>
      </c>
      <c r="Y2" s="196" t="s">
        <v>180</v>
      </c>
      <c r="Z2" s="196" t="s">
        <v>331</v>
      </c>
      <c r="AA2" s="196"/>
      <c r="AB2" s="196"/>
      <c r="AC2" s="196"/>
      <c r="AD2" s="196"/>
    </row>
    <row r="3" spans="1:30" x14ac:dyDescent="0.25">
      <c r="A3" t="s">
        <v>998</v>
      </c>
      <c r="B3" t="s">
        <v>999</v>
      </c>
      <c r="C3" t="s">
        <v>238</v>
      </c>
      <c r="D3" t="s">
        <v>1000</v>
      </c>
      <c r="E3" t="s">
        <v>1001</v>
      </c>
      <c r="F3">
        <v>22</v>
      </c>
      <c r="G3">
        <v>22</v>
      </c>
      <c r="H3">
        <v>1</v>
      </c>
      <c r="I3">
        <v>18</v>
      </c>
      <c r="J3">
        <v>23.999999999999996</v>
      </c>
      <c r="K3">
        <v>23.999999999999996</v>
      </c>
      <c r="L3">
        <v>42</v>
      </c>
      <c r="M3">
        <v>4</v>
      </c>
      <c r="N3" t="s">
        <v>999</v>
      </c>
      <c r="O3" t="s">
        <v>1002</v>
      </c>
      <c r="P3" t="s">
        <v>1003</v>
      </c>
      <c r="Q3" t="s">
        <v>1001</v>
      </c>
      <c r="R3">
        <v>300</v>
      </c>
      <c r="S3">
        <v>0</v>
      </c>
      <c r="T3">
        <v>25</v>
      </c>
      <c r="U3">
        <v>250</v>
      </c>
      <c r="V3">
        <v>375</v>
      </c>
      <c r="W3">
        <v>25</v>
      </c>
      <c r="X3">
        <v>100</v>
      </c>
      <c r="Y3">
        <v>3000.0000000000005</v>
      </c>
      <c r="Z3">
        <v>60</v>
      </c>
      <c r="AA3">
        <v>15</v>
      </c>
      <c r="AB3">
        <v>8</v>
      </c>
      <c r="AC3">
        <v>15</v>
      </c>
      <c r="AD3">
        <v>8</v>
      </c>
    </row>
    <row r="4" spans="1:30" x14ac:dyDescent="0.25">
      <c r="A4" t="s">
        <v>1004</v>
      </c>
      <c r="B4" t="s">
        <v>999</v>
      </c>
      <c r="C4" t="s">
        <v>238</v>
      </c>
      <c r="D4" t="s">
        <v>1000</v>
      </c>
      <c r="E4" t="s">
        <v>1001</v>
      </c>
      <c r="F4">
        <v>22</v>
      </c>
      <c r="G4">
        <v>22</v>
      </c>
      <c r="H4">
        <v>1</v>
      </c>
      <c r="I4">
        <v>18</v>
      </c>
      <c r="J4">
        <v>23.999999999999996</v>
      </c>
      <c r="K4">
        <v>23.999999999999996</v>
      </c>
      <c r="L4">
        <v>42</v>
      </c>
      <c r="M4">
        <v>4</v>
      </c>
      <c r="N4" t="s">
        <v>999</v>
      </c>
      <c r="O4" t="s">
        <v>1002</v>
      </c>
      <c r="P4" t="s">
        <v>1003</v>
      </c>
      <c r="Q4" t="s">
        <v>1001</v>
      </c>
      <c r="R4">
        <v>300</v>
      </c>
      <c r="S4">
        <v>0</v>
      </c>
      <c r="T4">
        <v>25</v>
      </c>
      <c r="U4">
        <v>295</v>
      </c>
      <c r="V4">
        <v>405</v>
      </c>
      <c r="W4">
        <v>25</v>
      </c>
      <c r="X4">
        <v>100</v>
      </c>
      <c r="Y4">
        <v>3000.0000000000005</v>
      </c>
      <c r="Z4">
        <v>60</v>
      </c>
      <c r="AA4">
        <v>15</v>
      </c>
      <c r="AB4">
        <v>8</v>
      </c>
      <c r="AC4">
        <v>15</v>
      </c>
      <c r="AD4">
        <v>8</v>
      </c>
    </row>
    <row r="5" spans="1:30" x14ac:dyDescent="0.25">
      <c r="A5" t="s">
        <v>1005</v>
      </c>
      <c r="B5" t="s">
        <v>999</v>
      </c>
      <c r="C5" t="s">
        <v>238</v>
      </c>
      <c r="D5" t="s">
        <v>1006</v>
      </c>
      <c r="E5" t="s">
        <v>1001</v>
      </c>
      <c r="F5">
        <v>23.999999999999996</v>
      </c>
      <c r="G5">
        <v>23.999999999999996</v>
      </c>
      <c r="H5">
        <v>1</v>
      </c>
      <c r="I5">
        <v>18</v>
      </c>
      <c r="J5">
        <v>36</v>
      </c>
      <c r="K5">
        <v>36</v>
      </c>
      <c r="L5">
        <v>47.999999999999993</v>
      </c>
      <c r="M5">
        <v>5</v>
      </c>
      <c r="N5" t="s">
        <v>999</v>
      </c>
      <c r="O5" t="s">
        <v>1002</v>
      </c>
      <c r="P5" t="s">
        <v>1003</v>
      </c>
      <c r="Q5" t="s">
        <v>1001</v>
      </c>
      <c r="R5">
        <v>300</v>
      </c>
      <c r="S5">
        <v>0</v>
      </c>
      <c r="T5">
        <v>25</v>
      </c>
      <c r="U5">
        <v>325</v>
      </c>
      <c r="V5">
        <v>460</v>
      </c>
      <c r="W5">
        <v>25</v>
      </c>
      <c r="X5">
        <v>100</v>
      </c>
      <c r="Y5">
        <v>3000.0000000000005</v>
      </c>
      <c r="Z5">
        <v>60</v>
      </c>
      <c r="AA5">
        <v>15</v>
      </c>
      <c r="AB5">
        <v>8</v>
      </c>
      <c r="AC5">
        <v>26</v>
      </c>
      <c r="AD5">
        <v>8</v>
      </c>
    </row>
    <row r="6" spans="1:30" x14ac:dyDescent="0.25">
      <c r="A6" t="s">
        <v>1007</v>
      </c>
      <c r="B6" t="s">
        <v>999</v>
      </c>
      <c r="C6" t="s">
        <v>238</v>
      </c>
      <c r="D6" t="s">
        <v>1006</v>
      </c>
      <c r="E6" t="s">
        <v>1001</v>
      </c>
      <c r="F6">
        <v>23.999999999999996</v>
      </c>
      <c r="G6">
        <v>23.999999999999996</v>
      </c>
      <c r="H6">
        <v>1</v>
      </c>
      <c r="I6">
        <v>18</v>
      </c>
      <c r="J6">
        <v>36</v>
      </c>
      <c r="K6">
        <v>36</v>
      </c>
      <c r="L6">
        <v>47.999999999999993</v>
      </c>
      <c r="M6">
        <v>5</v>
      </c>
      <c r="N6" t="s">
        <v>999</v>
      </c>
      <c r="O6" t="s">
        <v>1002</v>
      </c>
      <c r="P6" t="s">
        <v>1003</v>
      </c>
      <c r="Q6" t="s">
        <v>1001</v>
      </c>
      <c r="R6">
        <v>300</v>
      </c>
      <c r="S6">
        <v>0</v>
      </c>
      <c r="T6">
        <v>25</v>
      </c>
      <c r="U6">
        <v>525</v>
      </c>
      <c r="V6">
        <v>660</v>
      </c>
      <c r="W6">
        <v>25</v>
      </c>
      <c r="X6">
        <v>100</v>
      </c>
      <c r="Y6">
        <v>3000.0000000000005</v>
      </c>
      <c r="Z6">
        <v>60</v>
      </c>
      <c r="AA6">
        <v>15</v>
      </c>
      <c r="AB6">
        <v>8</v>
      </c>
      <c r="AC6">
        <v>26</v>
      </c>
      <c r="AD6">
        <v>8</v>
      </c>
    </row>
    <row r="8" spans="1:30" x14ac:dyDescent="0.25">
      <c r="B8" s="301" t="s">
        <v>1008</v>
      </c>
      <c r="C8" s="302"/>
      <c r="D8" s="302"/>
      <c r="E8" s="302"/>
      <c r="F8" s="302"/>
      <c r="G8" s="302"/>
      <c r="H8" s="302"/>
      <c r="I8" s="302"/>
      <c r="J8" s="302"/>
      <c r="K8" s="303"/>
      <c r="L8" s="197"/>
      <c r="M8" s="302" t="s">
        <v>1009</v>
      </c>
      <c r="N8" s="302"/>
      <c r="O8" s="302"/>
      <c r="P8" s="302"/>
      <c r="Q8" s="302"/>
      <c r="R8" s="302"/>
      <c r="S8" s="302"/>
      <c r="T8" s="303"/>
      <c r="U8" s="301" t="s">
        <v>1010</v>
      </c>
      <c r="V8" s="302"/>
      <c r="W8" s="302"/>
      <c r="X8" s="303"/>
      <c r="Y8" s="301" t="s">
        <v>1011</v>
      </c>
      <c r="Z8" s="302"/>
      <c r="AA8" s="302"/>
      <c r="AB8" s="302"/>
      <c r="AC8" s="302"/>
      <c r="AD8" s="303"/>
    </row>
    <row r="14" spans="1:30" x14ac:dyDescent="0.25">
      <c r="C14" s="4"/>
      <c r="D14" s="4"/>
      <c r="E14" s="4"/>
      <c r="F14" s="4"/>
      <c r="G14" s="4"/>
    </row>
    <row r="21" spans="3:7" x14ac:dyDescent="0.25">
      <c r="C21" s="4"/>
      <c r="D21" s="4"/>
      <c r="E21" s="4"/>
      <c r="F21" s="4"/>
      <c r="G21" s="4"/>
    </row>
    <row r="22" spans="3:7" x14ac:dyDescent="0.25">
      <c r="C22" s="11"/>
      <c r="D22" s="11"/>
      <c r="E22" s="11"/>
      <c r="F22" s="11"/>
      <c r="G22" s="11"/>
    </row>
    <row r="25" spans="3:7" x14ac:dyDescent="0.25">
      <c r="C25" s="4"/>
      <c r="D25" s="4"/>
      <c r="E25" s="4"/>
      <c r="F25" s="4"/>
      <c r="G25" s="4"/>
    </row>
  </sheetData>
  <mergeCells count="4">
    <mergeCell ref="B8:K8"/>
    <mergeCell ref="M8:T8"/>
    <mergeCell ref="U8:X8"/>
    <mergeCell ref="Y8:AD8"/>
  </mergeCells>
  <pageMargins left="0.7" right="0.7" top="0.75" bottom="0.75" header="0.3" footer="0.3"/>
  <pageSetup orientation="portrait" horizontalDpi="300" verticalDpi="0" copies="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6"/>
  <dimension ref="A1:D8"/>
  <sheetViews>
    <sheetView workbookViewId="0">
      <selection activeCell="A3" sqref="A3"/>
    </sheetView>
  </sheetViews>
  <sheetFormatPr defaultRowHeight="15" x14ac:dyDescent="0.25"/>
  <cols>
    <col min="1" max="1" width="9.7109375" bestFit="1" customWidth="1"/>
    <col min="2" max="2" width="12.42578125" bestFit="1" customWidth="1"/>
  </cols>
  <sheetData>
    <row r="1" spans="1:4" x14ac:dyDescent="0.25">
      <c r="A1" s="1" t="s">
        <v>1012</v>
      </c>
      <c r="B1" s="1" t="s">
        <v>1013</v>
      </c>
      <c r="C1" s="198" t="s">
        <v>1014</v>
      </c>
      <c r="D1" s="198" t="s">
        <v>1015</v>
      </c>
    </row>
    <row r="2" spans="1:4" x14ac:dyDescent="0.25">
      <c r="A2" s="1"/>
      <c r="B2" s="1"/>
      <c r="C2" s="198" t="s">
        <v>40</v>
      </c>
      <c r="D2" s="198" t="s">
        <v>40</v>
      </c>
    </row>
    <row r="3" spans="1:4" x14ac:dyDescent="0.25">
      <c r="A3" s="15"/>
      <c r="B3" s="15"/>
      <c r="C3" s="15"/>
      <c r="D3" s="15"/>
    </row>
    <row r="4" spans="1:4" x14ac:dyDescent="0.25">
      <c r="A4" s="15"/>
      <c r="B4" s="15"/>
      <c r="C4" s="15"/>
      <c r="D4" s="15"/>
    </row>
    <row r="5" spans="1:4" x14ac:dyDescent="0.25">
      <c r="A5" s="15"/>
      <c r="B5" s="15"/>
      <c r="C5" s="15"/>
      <c r="D5" s="15"/>
    </row>
    <row r="6" spans="1:4" x14ac:dyDescent="0.25">
      <c r="A6" s="15"/>
      <c r="B6" s="15"/>
      <c r="C6" s="15"/>
      <c r="D6" s="15"/>
    </row>
    <row r="8" spans="1:4" x14ac:dyDescent="0.25">
      <c r="A8" s="304" t="s">
        <v>1016</v>
      </c>
      <c r="B8" s="304"/>
      <c r="C8" s="305" t="s">
        <v>1017</v>
      </c>
      <c r="D8" s="306"/>
    </row>
  </sheetData>
  <mergeCells count="2">
    <mergeCell ref="A8:B8"/>
    <mergeCell ref="C8:D8"/>
  </mergeCells>
  <pageMargins left="0.7" right="0.7" top="0.75" bottom="0.75" header="0.3" footer="0.3"/>
  <pageSetup orientation="portrait" horizontalDpi="300" verticalDpi="0" copies="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5"/>
  <dimension ref="A1:AA22"/>
  <sheetViews>
    <sheetView workbookViewId="0">
      <selection activeCell="A2" sqref="A2"/>
    </sheetView>
  </sheetViews>
  <sheetFormatPr defaultRowHeight="15" x14ac:dyDescent="0.25"/>
  <cols>
    <col min="1" max="1" width="17.28515625" bestFit="1" customWidth="1"/>
    <col min="2" max="12" width="10.7109375" customWidth="1"/>
    <col min="13" max="13" width="14.7109375" customWidth="1"/>
    <col min="14" max="14" width="10.7109375" customWidth="1"/>
    <col min="15" max="15" width="14.7109375" customWidth="1"/>
    <col min="16" max="22" width="10.7109375" customWidth="1"/>
    <col min="23" max="25" width="15.7109375" customWidth="1"/>
    <col min="26" max="27" width="10.7109375" customWidth="1"/>
  </cols>
  <sheetData>
    <row r="1" spans="1:27" x14ac:dyDescent="0.25">
      <c r="A1" s="2" t="s">
        <v>53</v>
      </c>
      <c r="B1" s="2" t="s">
        <v>858</v>
      </c>
      <c r="C1" s="2" t="s">
        <v>914</v>
      </c>
      <c r="D1" s="2" t="s">
        <v>948</v>
      </c>
      <c r="E1" s="2" t="s">
        <v>949</v>
      </c>
      <c r="F1" s="2" t="s">
        <v>916</v>
      </c>
      <c r="G1" s="2" t="s">
        <v>950</v>
      </c>
      <c r="H1" s="2" t="s">
        <v>917</v>
      </c>
      <c r="I1" s="2" t="s">
        <v>894</v>
      </c>
      <c r="J1" s="2" t="s">
        <v>895</v>
      </c>
      <c r="K1" s="2" t="s">
        <v>918</v>
      </c>
      <c r="L1" s="2" t="s">
        <v>896</v>
      </c>
      <c r="M1" s="2" t="s">
        <v>919</v>
      </c>
      <c r="N1" s="2" t="s">
        <v>920</v>
      </c>
      <c r="O1" s="2" t="s">
        <v>899</v>
      </c>
      <c r="P1" s="2" t="s">
        <v>900</v>
      </c>
      <c r="Q1" s="2" t="s">
        <v>951</v>
      </c>
      <c r="R1" s="2" t="s">
        <v>952</v>
      </c>
      <c r="S1" s="2" t="s">
        <v>921</v>
      </c>
      <c r="T1" s="2" t="s">
        <v>922</v>
      </c>
      <c r="U1" s="2" t="s">
        <v>953</v>
      </c>
      <c r="V1" s="2" t="s">
        <v>954</v>
      </c>
      <c r="W1" s="2" t="s">
        <v>955</v>
      </c>
      <c r="X1" s="2" t="s">
        <v>956</v>
      </c>
      <c r="Y1" s="2" t="s">
        <v>957</v>
      </c>
      <c r="Z1" s="2" t="s">
        <v>958</v>
      </c>
      <c r="AA1" s="2" t="s">
        <v>959</v>
      </c>
    </row>
    <row r="2" spans="1:27" x14ac:dyDescent="0.25">
      <c r="A2" s="2"/>
      <c r="B2" s="2" t="s">
        <v>21</v>
      </c>
      <c r="C2" s="2" t="s">
        <v>21</v>
      </c>
      <c r="D2" s="2" t="s">
        <v>0</v>
      </c>
      <c r="E2" s="2" t="s">
        <v>0</v>
      </c>
      <c r="F2" s="2" t="s">
        <v>0</v>
      </c>
      <c r="G2" s="2" t="s">
        <v>0</v>
      </c>
      <c r="H2" s="2" t="s">
        <v>0</v>
      </c>
      <c r="I2" s="2" t="s">
        <v>0</v>
      </c>
      <c r="J2" s="2" t="s">
        <v>0</v>
      </c>
      <c r="K2" s="2" t="s">
        <v>0</v>
      </c>
      <c r="L2" s="2" t="s">
        <v>0</v>
      </c>
      <c r="M2" s="2"/>
      <c r="N2" s="2" t="s">
        <v>91</v>
      </c>
      <c r="O2" s="2"/>
      <c r="P2" s="2" t="s">
        <v>0</v>
      </c>
      <c r="Q2" s="2" t="s">
        <v>0</v>
      </c>
      <c r="R2" s="2" t="s">
        <v>0</v>
      </c>
      <c r="S2" s="2"/>
      <c r="T2" s="2" t="s">
        <v>0</v>
      </c>
      <c r="U2" s="2" t="s">
        <v>0</v>
      </c>
      <c r="V2" s="2"/>
      <c r="W2" s="2"/>
      <c r="X2" s="2" t="s">
        <v>0</v>
      </c>
      <c r="Y2" s="2"/>
      <c r="Z2" s="2" t="s">
        <v>0</v>
      </c>
      <c r="AA2" s="2" t="s">
        <v>0</v>
      </c>
    </row>
    <row r="3" spans="1:27" x14ac:dyDescent="0.25">
      <c r="A3" t="s">
        <v>92</v>
      </c>
      <c r="B3">
        <v>122.9</v>
      </c>
      <c r="C3">
        <v>24.6</v>
      </c>
      <c r="D3">
        <v>450</v>
      </c>
      <c r="E3">
        <v>450</v>
      </c>
      <c r="F3">
        <v>245</v>
      </c>
      <c r="G3">
        <v>300</v>
      </c>
      <c r="H3">
        <v>200</v>
      </c>
      <c r="I3">
        <v>100</v>
      </c>
      <c r="J3">
        <v>300</v>
      </c>
      <c r="K3">
        <v>130</v>
      </c>
      <c r="L3">
        <v>10</v>
      </c>
      <c r="M3" t="s">
        <v>689</v>
      </c>
      <c r="N3">
        <v>500</v>
      </c>
      <c r="O3">
        <v>0</v>
      </c>
      <c r="P3">
        <v>25</v>
      </c>
      <c r="Q3">
        <v>35</v>
      </c>
      <c r="R3">
        <v>35</v>
      </c>
      <c r="S3">
        <v>2</v>
      </c>
      <c r="T3">
        <v>16</v>
      </c>
      <c r="U3">
        <v>25</v>
      </c>
      <c r="V3">
        <v>3</v>
      </c>
      <c r="W3">
        <v>2</v>
      </c>
      <c r="X3">
        <v>8</v>
      </c>
      <c r="Y3">
        <v>2</v>
      </c>
      <c r="Z3">
        <v>8</v>
      </c>
      <c r="AA3">
        <v>250</v>
      </c>
    </row>
    <row r="11" spans="1:27" x14ac:dyDescent="0.25">
      <c r="A11" s="4"/>
    </row>
    <row r="18" spans="2:2" x14ac:dyDescent="0.25">
      <c r="B18" s="4"/>
    </row>
    <row r="19" spans="2:2" x14ac:dyDescent="0.25">
      <c r="B19" s="11"/>
    </row>
    <row r="22" spans="2:2" x14ac:dyDescent="0.25">
      <c r="B22" s="4"/>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6"/>
  <dimension ref="A1:J20"/>
  <sheetViews>
    <sheetView workbookViewId="0">
      <selection activeCell="A3" sqref="A3"/>
    </sheetView>
  </sheetViews>
  <sheetFormatPr defaultRowHeight="15" x14ac:dyDescent="0.25"/>
  <cols>
    <col min="1" max="17" width="12.7109375" customWidth="1"/>
  </cols>
  <sheetData>
    <row r="1" spans="1:10" x14ac:dyDescent="0.25">
      <c r="A1" s="1" t="s">
        <v>932</v>
      </c>
      <c r="B1" s="1" t="s">
        <v>905</v>
      </c>
      <c r="C1" s="1" t="s">
        <v>906</v>
      </c>
      <c r="D1" s="1" t="s">
        <v>960</v>
      </c>
      <c r="E1" s="1" t="s">
        <v>961</v>
      </c>
      <c r="F1" s="1" t="s">
        <v>962</v>
      </c>
      <c r="G1" s="1" t="s">
        <v>963</v>
      </c>
      <c r="H1" s="1" t="s">
        <v>964</v>
      </c>
      <c r="I1" s="1" t="s">
        <v>965</v>
      </c>
      <c r="J1" s="1" t="s">
        <v>913</v>
      </c>
    </row>
    <row r="2" spans="1:10" x14ac:dyDescent="0.25">
      <c r="A2" s="1" t="s">
        <v>91</v>
      </c>
      <c r="B2" s="1" t="s">
        <v>91</v>
      </c>
      <c r="C2" s="1"/>
      <c r="D2" s="1" t="s">
        <v>138</v>
      </c>
      <c r="E2" s="1" t="s">
        <v>138</v>
      </c>
      <c r="F2" s="1"/>
      <c r="G2" s="1" t="s">
        <v>138</v>
      </c>
      <c r="H2" s="1" t="s">
        <v>138</v>
      </c>
      <c r="I2" s="1"/>
      <c r="J2" s="1"/>
    </row>
    <row r="3" spans="1:10" x14ac:dyDescent="0.25">
      <c r="A3" s="15"/>
      <c r="B3" s="15"/>
      <c r="C3" s="15"/>
      <c r="D3" s="15"/>
      <c r="E3" s="15"/>
      <c r="F3" s="15"/>
      <c r="G3" s="15"/>
      <c r="H3" s="15"/>
      <c r="I3" s="15"/>
      <c r="J3" s="15"/>
    </row>
    <row r="4" spans="1:10" x14ac:dyDescent="0.25">
      <c r="A4" s="15"/>
      <c r="B4" s="15"/>
      <c r="C4" s="15"/>
      <c r="D4" s="15"/>
      <c r="E4" s="15"/>
      <c r="F4" s="15"/>
      <c r="G4" s="15"/>
      <c r="H4" s="15"/>
      <c r="I4" s="15"/>
      <c r="J4" s="15"/>
    </row>
    <row r="5" spans="1:10" x14ac:dyDescent="0.25">
      <c r="A5" s="15"/>
      <c r="B5" s="15"/>
      <c r="C5" s="15"/>
      <c r="D5" s="15"/>
      <c r="E5" s="15"/>
      <c r="F5" s="15"/>
      <c r="G5" s="15"/>
      <c r="H5" s="15"/>
      <c r="I5" s="15"/>
      <c r="J5" s="15"/>
    </row>
    <row r="6" spans="1:10" x14ac:dyDescent="0.25">
      <c r="A6" s="15"/>
      <c r="B6" s="15"/>
      <c r="C6" s="15"/>
      <c r="D6" s="15"/>
      <c r="E6" s="15"/>
      <c r="F6" s="15"/>
      <c r="G6" s="15"/>
      <c r="H6" s="15"/>
      <c r="I6" s="15"/>
      <c r="J6" s="15"/>
    </row>
    <row r="7" spans="1:10" x14ac:dyDescent="0.25">
      <c r="A7" s="15"/>
      <c r="B7" s="15"/>
      <c r="C7" s="15"/>
      <c r="D7" s="15"/>
      <c r="E7" s="15"/>
      <c r="F7" s="15"/>
      <c r="G7" s="15"/>
      <c r="H7" s="15"/>
      <c r="I7" s="15"/>
      <c r="J7" s="15"/>
    </row>
    <row r="8" spans="1:10" x14ac:dyDescent="0.25">
      <c r="A8" s="15"/>
      <c r="B8" s="15"/>
      <c r="C8" s="15"/>
      <c r="D8" s="15"/>
      <c r="E8" s="15"/>
      <c r="F8" s="15"/>
      <c r="G8" s="15"/>
      <c r="H8" s="15"/>
      <c r="I8" s="15"/>
      <c r="J8" s="15"/>
    </row>
    <row r="9" spans="1:10" x14ac:dyDescent="0.25">
      <c r="A9" s="15"/>
      <c r="B9" s="15"/>
      <c r="C9" s="15"/>
      <c r="D9" s="15"/>
      <c r="E9" s="15"/>
      <c r="F9" s="15"/>
      <c r="G9" s="15"/>
      <c r="H9" s="15"/>
      <c r="I9" s="15"/>
      <c r="J9" s="15"/>
    </row>
    <row r="10" spans="1:10" x14ac:dyDescent="0.25">
      <c r="A10" s="15"/>
      <c r="B10" s="15"/>
      <c r="C10" s="15"/>
      <c r="D10" s="15"/>
      <c r="E10" s="15"/>
      <c r="F10" s="15"/>
      <c r="G10" s="15"/>
      <c r="H10" s="15"/>
      <c r="I10" s="15"/>
      <c r="J10" s="15"/>
    </row>
    <row r="11" spans="1:10" x14ac:dyDescent="0.25">
      <c r="A11" s="15"/>
      <c r="B11" s="15"/>
      <c r="C11" s="15"/>
      <c r="D11" s="15"/>
      <c r="E11" s="15"/>
      <c r="F11" s="15"/>
      <c r="G11" s="15"/>
      <c r="H11" s="15"/>
      <c r="I11" s="15"/>
      <c r="J11" s="15"/>
    </row>
    <row r="12" spans="1:10" x14ac:dyDescent="0.25">
      <c r="A12" s="15"/>
      <c r="B12" s="15"/>
      <c r="C12" s="15"/>
      <c r="D12" s="15"/>
      <c r="E12" s="15"/>
      <c r="F12" s="15"/>
      <c r="G12" s="15"/>
      <c r="H12" s="15"/>
      <c r="I12" s="15"/>
      <c r="J12" s="15"/>
    </row>
    <row r="13" spans="1:10" x14ac:dyDescent="0.25">
      <c r="A13" s="15"/>
      <c r="B13" s="15"/>
      <c r="C13" s="15"/>
      <c r="D13" s="15"/>
      <c r="E13" s="15"/>
      <c r="F13" s="15"/>
      <c r="G13" s="15"/>
      <c r="H13" s="15"/>
      <c r="I13" s="15"/>
      <c r="J13" s="15"/>
    </row>
    <row r="14" spans="1:10" x14ac:dyDescent="0.25">
      <c r="A14" s="15"/>
      <c r="B14" s="15"/>
      <c r="C14" s="15"/>
      <c r="D14" s="15"/>
      <c r="E14" s="15"/>
      <c r="F14" s="15"/>
      <c r="G14" s="15"/>
      <c r="H14" s="15"/>
      <c r="I14" s="15"/>
      <c r="J14" s="15"/>
    </row>
    <row r="15" spans="1:10" x14ac:dyDescent="0.25">
      <c r="A15" s="15"/>
      <c r="B15" s="15"/>
      <c r="C15" s="15"/>
      <c r="D15" s="15"/>
      <c r="E15" s="15"/>
      <c r="F15" s="15"/>
      <c r="G15" s="15"/>
      <c r="H15" s="15"/>
      <c r="I15" s="15"/>
      <c r="J15" s="15"/>
    </row>
    <row r="16" spans="1:10" x14ac:dyDescent="0.25">
      <c r="A16" s="15"/>
      <c r="B16" s="15"/>
      <c r="C16" s="15"/>
      <c r="D16" s="15"/>
      <c r="E16" s="15"/>
      <c r="F16" s="15"/>
      <c r="G16" s="15"/>
      <c r="H16" s="15"/>
      <c r="I16" s="15"/>
      <c r="J16" s="15"/>
    </row>
    <row r="17" spans="1:10" x14ac:dyDescent="0.25">
      <c r="A17" s="15"/>
      <c r="B17" s="15"/>
      <c r="C17" s="15"/>
      <c r="D17" s="15"/>
      <c r="E17" s="15"/>
      <c r="F17" s="15"/>
      <c r="G17" s="15"/>
      <c r="H17" s="15"/>
      <c r="I17" s="15"/>
      <c r="J17" s="15"/>
    </row>
    <row r="18" spans="1:10" x14ac:dyDescent="0.25">
      <c r="A18" s="15"/>
      <c r="B18" s="15"/>
      <c r="C18" s="15"/>
      <c r="D18" s="15"/>
      <c r="E18" s="15"/>
      <c r="F18" s="15"/>
      <c r="G18" s="15"/>
      <c r="H18" s="15"/>
      <c r="I18" s="15"/>
      <c r="J18" s="15"/>
    </row>
    <row r="19" spans="1:10" x14ac:dyDescent="0.25">
      <c r="A19" s="15"/>
      <c r="B19" s="15"/>
      <c r="C19" s="15"/>
      <c r="D19" s="15"/>
      <c r="E19" s="15"/>
      <c r="F19" s="15"/>
      <c r="G19" s="15"/>
      <c r="H19" s="15"/>
      <c r="I19" s="15"/>
      <c r="J19" s="15"/>
    </row>
    <row r="20" spans="1:10" x14ac:dyDescent="0.25">
      <c r="A20" s="15"/>
      <c r="B20" s="15"/>
      <c r="C20" s="15"/>
      <c r="D20" s="15"/>
      <c r="E20" s="15"/>
      <c r="F20" s="15"/>
      <c r="G20" s="15"/>
      <c r="H20" s="15"/>
      <c r="I20" s="15"/>
      <c r="J20" s="15"/>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7"/>
  <dimension ref="A1:K9"/>
  <sheetViews>
    <sheetView topLeftCell="E1" workbookViewId="0">
      <selection activeCell="H3" sqref="H3"/>
    </sheetView>
  </sheetViews>
  <sheetFormatPr defaultRowHeight="15" x14ac:dyDescent="0.25"/>
  <cols>
    <col min="1" max="1" width="19" bestFit="1" customWidth="1"/>
    <col min="2" max="2" width="22.5703125" bestFit="1" customWidth="1"/>
    <col min="3" max="3" width="29.7109375" customWidth="1"/>
    <col min="4" max="6" width="21" bestFit="1" customWidth="1"/>
    <col min="7" max="7" width="9.5703125" customWidth="1"/>
    <col min="8" max="8" width="40.85546875" customWidth="1"/>
    <col min="9" max="9" width="32.85546875" customWidth="1"/>
    <col min="10" max="10" width="9.7109375" bestFit="1" customWidth="1"/>
    <col min="11" max="11" width="10.7109375" bestFit="1" customWidth="1"/>
  </cols>
  <sheetData>
    <row r="1" spans="1:11" x14ac:dyDescent="0.25">
      <c r="A1" s="2" t="s">
        <v>66</v>
      </c>
      <c r="B1" s="2" t="s">
        <v>67</v>
      </c>
      <c r="C1" s="2" t="s">
        <v>945</v>
      </c>
      <c r="D1" s="2" t="s">
        <v>946</v>
      </c>
      <c r="E1" s="2" t="s">
        <v>603</v>
      </c>
      <c r="F1" s="2" t="s">
        <v>144</v>
      </c>
      <c r="H1" s="1" t="s">
        <v>628</v>
      </c>
      <c r="I1" s="1" t="s">
        <v>629</v>
      </c>
      <c r="J1" s="1" t="s">
        <v>630</v>
      </c>
      <c r="K1" s="1" t="s">
        <v>631</v>
      </c>
    </row>
    <row r="2" spans="1:11" x14ac:dyDescent="0.25">
      <c r="A2" s="2" t="s">
        <v>0</v>
      </c>
      <c r="B2" s="2" t="s">
        <v>0</v>
      </c>
      <c r="C2" s="2" t="s">
        <v>138</v>
      </c>
      <c r="D2" s="2" t="s">
        <v>0</v>
      </c>
      <c r="E2" s="2" t="s">
        <v>90</v>
      </c>
      <c r="F2" s="2" t="s">
        <v>21</v>
      </c>
      <c r="H2" s="1"/>
      <c r="I2" s="1"/>
      <c r="J2" s="1" t="s">
        <v>138</v>
      </c>
      <c r="K2" s="1" t="s">
        <v>947</v>
      </c>
    </row>
    <row r="3" spans="1:11" x14ac:dyDescent="0.25">
      <c r="A3" s="41">
        <v>650</v>
      </c>
      <c r="B3" s="41">
        <v>500</v>
      </c>
      <c r="C3" s="41">
        <v>1500</v>
      </c>
      <c r="D3" s="41">
        <v>450</v>
      </c>
      <c r="E3" s="41">
        <v>70</v>
      </c>
      <c r="F3" s="41">
        <v>150</v>
      </c>
      <c r="H3" s="12"/>
      <c r="I3" s="12"/>
      <c r="J3" s="46"/>
      <c r="K3" s="46"/>
    </row>
    <row r="4" spans="1:11" x14ac:dyDescent="0.25">
      <c r="A4" s="41">
        <v>750</v>
      </c>
      <c r="B4" s="41">
        <v>675</v>
      </c>
      <c r="C4" s="41">
        <v>1500</v>
      </c>
      <c r="D4" s="41">
        <v>625</v>
      </c>
      <c r="E4" s="41">
        <v>70</v>
      </c>
      <c r="F4" s="41">
        <v>150</v>
      </c>
      <c r="H4" s="12"/>
      <c r="I4" s="12"/>
      <c r="J4" s="46"/>
      <c r="K4" s="46"/>
    </row>
    <row r="5" spans="1:11" x14ac:dyDescent="0.25">
      <c r="A5" s="41">
        <v>500</v>
      </c>
      <c r="B5" s="41">
        <v>500</v>
      </c>
      <c r="C5" s="41">
        <v>1500</v>
      </c>
      <c r="D5" s="41">
        <v>450</v>
      </c>
      <c r="E5" s="41">
        <v>70</v>
      </c>
      <c r="F5" s="41">
        <v>150</v>
      </c>
      <c r="H5" s="12"/>
      <c r="I5" s="12"/>
      <c r="J5" s="46"/>
      <c r="K5" s="46"/>
    </row>
    <row r="6" spans="1:11" x14ac:dyDescent="0.25">
      <c r="A6" s="41">
        <v>600</v>
      </c>
      <c r="B6" s="41">
        <v>550</v>
      </c>
      <c r="C6" s="41">
        <v>1500</v>
      </c>
      <c r="D6" s="41">
        <v>500</v>
      </c>
      <c r="E6" s="41">
        <v>70</v>
      </c>
      <c r="F6" s="41">
        <v>150</v>
      </c>
      <c r="H6" s="12"/>
      <c r="I6" s="12"/>
      <c r="J6" s="46"/>
      <c r="K6" s="46"/>
    </row>
    <row r="7" spans="1:11" x14ac:dyDescent="0.25">
      <c r="A7" s="41">
        <v>600</v>
      </c>
      <c r="B7" s="41">
        <v>700</v>
      </c>
      <c r="C7" s="41">
        <v>1500</v>
      </c>
      <c r="D7" s="41">
        <v>650</v>
      </c>
      <c r="E7" s="41">
        <v>70</v>
      </c>
      <c r="F7" s="41">
        <v>150</v>
      </c>
      <c r="H7" s="12"/>
      <c r="I7" s="12"/>
      <c r="J7" s="46"/>
      <c r="K7" s="46"/>
    </row>
    <row r="8" spans="1:11" x14ac:dyDescent="0.25">
      <c r="A8" s="41">
        <v>300</v>
      </c>
      <c r="B8" s="41">
        <v>700</v>
      </c>
      <c r="C8" s="41">
        <v>1500</v>
      </c>
      <c r="D8" s="41">
        <v>600</v>
      </c>
      <c r="E8" s="41">
        <v>70</v>
      </c>
      <c r="F8" s="41">
        <v>150</v>
      </c>
      <c r="H8" s="12"/>
      <c r="I8" s="12"/>
      <c r="J8" s="46"/>
      <c r="K8" s="46"/>
    </row>
    <row r="9" spans="1:11" x14ac:dyDescent="0.25">
      <c r="A9" s="41"/>
      <c r="B9" s="41"/>
      <c r="C9" s="41"/>
      <c r="D9" s="41"/>
      <c r="E9" s="41"/>
      <c r="F9" s="41"/>
      <c r="H9" s="12"/>
      <c r="I9" s="12"/>
      <c r="J9" s="46"/>
      <c r="K9" s="46"/>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3"/>
  <dimension ref="A1:Z22"/>
  <sheetViews>
    <sheetView workbookViewId="0">
      <selection activeCell="A2" sqref="A2"/>
    </sheetView>
  </sheetViews>
  <sheetFormatPr defaultRowHeight="15" x14ac:dyDescent="0.25"/>
  <cols>
    <col min="1" max="1" width="17.28515625" bestFit="1" customWidth="1"/>
    <col min="2" max="11" width="10.7109375" customWidth="1"/>
    <col min="12" max="12" width="14.7109375" customWidth="1"/>
    <col min="13" max="13" width="10.7109375" customWidth="1"/>
    <col min="14" max="14" width="14.7109375" customWidth="1"/>
    <col min="15" max="22" width="10.7109375" customWidth="1"/>
    <col min="23" max="24" width="15.7109375" customWidth="1"/>
    <col min="25" max="26" width="10.7109375" customWidth="1"/>
  </cols>
  <sheetData>
    <row r="1" spans="1:26" x14ac:dyDescent="0.25">
      <c r="A1" s="2" t="s">
        <v>53</v>
      </c>
      <c r="B1" s="2" t="s">
        <v>858</v>
      </c>
      <c r="C1" s="2" t="s">
        <v>914</v>
      </c>
      <c r="D1" s="2" t="s">
        <v>915</v>
      </c>
      <c r="E1" s="2" t="s">
        <v>68</v>
      </c>
      <c r="F1" s="2" t="s">
        <v>647</v>
      </c>
      <c r="G1" s="2" t="s">
        <v>916</v>
      </c>
      <c r="H1" s="2" t="s">
        <v>917</v>
      </c>
      <c r="I1" s="2" t="s">
        <v>894</v>
      </c>
      <c r="J1" s="2" t="s">
        <v>918</v>
      </c>
      <c r="K1" s="2" t="s">
        <v>896</v>
      </c>
      <c r="L1" s="2" t="s">
        <v>919</v>
      </c>
      <c r="M1" s="2" t="s">
        <v>920</v>
      </c>
      <c r="N1" s="2" t="s">
        <v>899</v>
      </c>
      <c r="O1" s="2" t="s">
        <v>900</v>
      </c>
      <c r="P1" s="2" t="s">
        <v>921</v>
      </c>
      <c r="Q1" s="2" t="s">
        <v>922</v>
      </c>
      <c r="R1" s="2" t="s">
        <v>923</v>
      </c>
      <c r="S1" s="2" t="s">
        <v>924</v>
      </c>
      <c r="T1" s="2" t="s">
        <v>925</v>
      </c>
      <c r="U1" s="2" t="s">
        <v>926</v>
      </c>
      <c r="V1" s="2" t="s">
        <v>927</v>
      </c>
      <c r="W1" s="2" t="s">
        <v>928</v>
      </c>
      <c r="X1" s="2" t="s">
        <v>929</v>
      </c>
      <c r="Y1" s="2" t="s">
        <v>653</v>
      </c>
      <c r="Z1" s="2" t="s">
        <v>930</v>
      </c>
    </row>
    <row r="2" spans="1:26" x14ac:dyDescent="0.25">
      <c r="A2" s="2"/>
      <c r="B2" s="2" t="s">
        <v>21</v>
      </c>
      <c r="C2" s="2" t="s">
        <v>21</v>
      </c>
      <c r="D2" s="2"/>
      <c r="E2" s="2" t="s">
        <v>0</v>
      </c>
      <c r="F2" s="2" t="s">
        <v>0</v>
      </c>
      <c r="G2" s="2" t="s">
        <v>0</v>
      </c>
      <c r="H2" s="2" t="s">
        <v>0</v>
      </c>
      <c r="I2" s="2" t="s">
        <v>0</v>
      </c>
      <c r="J2" s="2" t="s">
        <v>0</v>
      </c>
      <c r="K2" s="2" t="s">
        <v>0</v>
      </c>
      <c r="L2" s="2"/>
      <c r="M2" s="2" t="s">
        <v>91</v>
      </c>
      <c r="N2" s="2"/>
      <c r="O2" s="2" t="s">
        <v>0</v>
      </c>
      <c r="P2" s="2"/>
      <c r="Q2" s="2" t="s">
        <v>0</v>
      </c>
      <c r="R2" s="2"/>
      <c r="S2" s="2" t="s">
        <v>0</v>
      </c>
      <c r="T2" s="2"/>
      <c r="U2" s="2" t="s">
        <v>0</v>
      </c>
      <c r="V2" s="2"/>
      <c r="W2" s="2"/>
      <c r="X2" s="2"/>
      <c r="Y2" s="2" t="s">
        <v>0</v>
      </c>
      <c r="Z2" s="2" t="s">
        <v>0</v>
      </c>
    </row>
    <row r="3" spans="1:26" x14ac:dyDescent="0.25">
      <c r="A3" t="s">
        <v>92</v>
      </c>
      <c r="B3">
        <v>122.9</v>
      </c>
      <c r="C3">
        <v>24.6</v>
      </c>
      <c r="D3" t="s">
        <v>931</v>
      </c>
      <c r="E3">
        <v>500</v>
      </c>
      <c r="F3">
        <v>300</v>
      </c>
      <c r="G3">
        <v>245</v>
      </c>
      <c r="H3">
        <v>200</v>
      </c>
      <c r="I3">
        <v>100</v>
      </c>
      <c r="J3">
        <v>130</v>
      </c>
      <c r="K3">
        <v>10</v>
      </c>
      <c r="L3" t="s">
        <v>689</v>
      </c>
      <c r="M3">
        <v>500</v>
      </c>
      <c r="N3">
        <v>0</v>
      </c>
      <c r="O3">
        <v>25</v>
      </c>
      <c r="P3">
        <v>2</v>
      </c>
      <c r="Q3">
        <v>16</v>
      </c>
      <c r="R3">
        <v>3</v>
      </c>
      <c r="S3">
        <v>16</v>
      </c>
      <c r="T3">
        <v>3</v>
      </c>
      <c r="U3">
        <v>16</v>
      </c>
      <c r="V3">
        <v>4</v>
      </c>
      <c r="W3">
        <v>2</v>
      </c>
      <c r="X3">
        <v>2</v>
      </c>
      <c r="Y3">
        <v>8</v>
      </c>
      <c r="Z3">
        <v>250</v>
      </c>
    </row>
    <row r="11" spans="1:26" x14ac:dyDescent="0.25">
      <c r="A11" s="4"/>
    </row>
    <row r="18" spans="2:2" x14ac:dyDescent="0.25">
      <c r="B18" s="4"/>
    </row>
    <row r="19" spans="2:2" x14ac:dyDescent="0.25">
      <c r="B19" s="11"/>
    </row>
    <row r="22" spans="2:2" x14ac:dyDescent="0.25">
      <c r="B22" s="4"/>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4"/>
  <dimension ref="A1:P20"/>
  <sheetViews>
    <sheetView workbookViewId="0">
      <selection activeCell="A3" sqref="A3"/>
    </sheetView>
  </sheetViews>
  <sheetFormatPr defaultRowHeight="15" x14ac:dyDescent="0.25"/>
  <cols>
    <col min="1" max="23" width="12.7109375" customWidth="1"/>
  </cols>
  <sheetData>
    <row r="1" spans="1:16" x14ac:dyDescent="0.25">
      <c r="A1" s="1" t="s">
        <v>932</v>
      </c>
      <c r="B1" s="1" t="s">
        <v>933</v>
      </c>
      <c r="C1" s="1" t="s">
        <v>934</v>
      </c>
      <c r="D1" s="1" t="s">
        <v>935</v>
      </c>
      <c r="E1" s="1" t="s">
        <v>936</v>
      </c>
      <c r="F1" s="1" t="s">
        <v>937</v>
      </c>
      <c r="G1" s="1" t="s">
        <v>938</v>
      </c>
      <c r="H1" s="1" t="s">
        <v>939</v>
      </c>
      <c r="I1" s="1" t="s">
        <v>940</v>
      </c>
      <c r="J1" s="1" t="s">
        <v>941</v>
      </c>
      <c r="K1" s="1" t="s">
        <v>942</v>
      </c>
      <c r="L1" s="1" t="s">
        <v>943</v>
      </c>
      <c r="M1" s="1" t="s">
        <v>165</v>
      </c>
      <c r="N1" s="1" t="s">
        <v>164</v>
      </c>
      <c r="O1" s="1" t="s">
        <v>944</v>
      </c>
      <c r="P1" s="1" t="s">
        <v>913</v>
      </c>
    </row>
    <row r="2" spans="1:16" x14ac:dyDescent="0.25">
      <c r="A2" s="1" t="s">
        <v>91</v>
      </c>
      <c r="B2" s="1" t="s">
        <v>91</v>
      </c>
      <c r="C2" s="1"/>
      <c r="D2" s="1" t="s">
        <v>91</v>
      </c>
      <c r="E2" s="1"/>
      <c r="F2" s="1" t="s">
        <v>91</v>
      </c>
      <c r="G2" s="1"/>
      <c r="H2" s="1" t="s">
        <v>21</v>
      </c>
      <c r="I2" s="1"/>
      <c r="J2" s="1" t="s">
        <v>138</v>
      </c>
      <c r="K2" s="1" t="s">
        <v>138</v>
      </c>
      <c r="L2" s="1"/>
      <c r="M2" s="1" t="s">
        <v>138</v>
      </c>
      <c r="N2" s="1" t="s">
        <v>138</v>
      </c>
      <c r="O2" s="1"/>
      <c r="P2" s="1"/>
    </row>
    <row r="3" spans="1:16" x14ac:dyDescent="0.25">
      <c r="A3" s="15"/>
      <c r="B3" s="15"/>
      <c r="C3" s="15"/>
      <c r="D3" s="15"/>
      <c r="E3" s="15"/>
      <c r="F3" s="15"/>
      <c r="G3" s="15"/>
      <c r="H3" s="15"/>
      <c r="I3" s="15"/>
      <c r="J3" s="15"/>
      <c r="K3" s="15"/>
      <c r="L3" s="15"/>
      <c r="M3" s="15"/>
      <c r="N3" s="15"/>
      <c r="O3" s="15"/>
      <c r="P3" s="15"/>
    </row>
    <row r="4" spans="1:16" x14ac:dyDescent="0.25">
      <c r="A4" s="15"/>
      <c r="B4" s="15"/>
      <c r="C4" s="15"/>
      <c r="D4" s="15"/>
      <c r="E4" s="15"/>
      <c r="F4" s="15"/>
      <c r="G4" s="15"/>
      <c r="H4" s="15"/>
      <c r="I4" s="15"/>
      <c r="J4" s="15"/>
      <c r="K4" s="15"/>
      <c r="L4" s="15"/>
      <c r="M4" s="15"/>
      <c r="N4" s="15"/>
      <c r="O4" s="15"/>
      <c r="P4" s="15"/>
    </row>
    <row r="5" spans="1:16" x14ac:dyDescent="0.25">
      <c r="A5" s="15"/>
      <c r="B5" s="15"/>
      <c r="C5" s="15"/>
      <c r="D5" s="15"/>
      <c r="E5" s="15"/>
      <c r="F5" s="15"/>
      <c r="G5" s="15"/>
      <c r="H5" s="15"/>
      <c r="I5" s="15"/>
      <c r="J5" s="15"/>
      <c r="K5" s="15"/>
      <c r="L5" s="15"/>
      <c r="M5" s="15"/>
      <c r="N5" s="15"/>
      <c r="O5" s="15"/>
      <c r="P5" s="15"/>
    </row>
    <row r="6" spans="1:16" x14ac:dyDescent="0.25">
      <c r="A6" s="15"/>
      <c r="B6" s="15"/>
      <c r="C6" s="15"/>
      <c r="D6" s="15"/>
      <c r="E6" s="15"/>
      <c r="F6" s="15"/>
      <c r="G6" s="15"/>
      <c r="H6" s="15"/>
      <c r="I6" s="15"/>
      <c r="J6" s="15"/>
      <c r="K6" s="15"/>
      <c r="L6" s="15"/>
      <c r="M6" s="15"/>
      <c r="N6" s="15"/>
      <c r="O6" s="15"/>
      <c r="P6" s="15"/>
    </row>
    <row r="7" spans="1:16" x14ac:dyDescent="0.25">
      <c r="A7" s="15"/>
      <c r="B7" s="15"/>
      <c r="C7" s="15"/>
      <c r="D7" s="15"/>
      <c r="E7" s="15"/>
      <c r="F7" s="15"/>
      <c r="G7" s="15"/>
      <c r="H7" s="15"/>
      <c r="I7" s="15"/>
      <c r="J7" s="15"/>
      <c r="K7" s="15"/>
      <c r="L7" s="15"/>
      <c r="M7" s="15"/>
      <c r="N7" s="15"/>
      <c r="O7" s="15"/>
      <c r="P7" s="15"/>
    </row>
    <row r="8" spans="1:16" x14ac:dyDescent="0.25">
      <c r="A8" s="15"/>
      <c r="B8" s="15"/>
      <c r="C8" s="15"/>
      <c r="D8" s="15"/>
      <c r="E8" s="15"/>
      <c r="F8" s="15"/>
      <c r="G8" s="15"/>
      <c r="H8" s="15"/>
      <c r="I8" s="15"/>
      <c r="J8" s="15"/>
      <c r="K8" s="15"/>
      <c r="L8" s="15"/>
      <c r="M8" s="15"/>
      <c r="N8" s="15"/>
      <c r="O8" s="15"/>
      <c r="P8" s="15"/>
    </row>
    <row r="9" spans="1:16" x14ac:dyDescent="0.25">
      <c r="A9" s="15"/>
      <c r="B9" s="15"/>
      <c r="C9" s="15"/>
      <c r="D9" s="15"/>
      <c r="E9" s="15"/>
      <c r="F9" s="15"/>
      <c r="G9" s="15"/>
      <c r="H9" s="15"/>
      <c r="I9" s="15"/>
      <c r="J9" s="15"/>
      <c r="K9" s="15"/>
      <c r="L9" s="15"/>
      <c r="M9" s="15"/>
      <c r="N9" s="15"/>
      <c r="O9" s="15"/>
      <c r="P9" s="15"/>
    </row>
    <row r="10" spans="1:16" x14ac:dyDescent="0.25">
      <c r="A10" s="15"/>
      <c r="B10" s="15"/>
      <c r="C10" s="15"/>
      <c r="D10" s="15"/>
      <c r="E10" s="15"/>
      <c r="F10" s="15"/>
      <c r="G10" s="15"/>
      <c r="H10" s="15"/>
      <c r="I10" s="15"/>
      <c r="J10" s="15"/>
      <c r="K10" s="15"/>
      <c r="L10" s="15"/>
      <c r="M10" s="15"/>
      <c r="N10" s="15"/>
      <c r="O10" s="15"/>
      <c r="P10" s="15"/>
    </row>
    <row r="11" spans="1:16" x14ac:dyDescent="0.25">
      <c r="A11" s="15"/>
      <c r="B11" s="15"/>
      <c r="C11" s="15"/>
      <c r="D11" s="15"/>
      <c r="E11" s="15"/>
      <c r="F11" s="15"/>
      <c r="G11" s="15"/>
      <c r="H11" s="15"/>
      <c r="I11" s="15"/>
      <c r="J11" s="15"/>
      <c r="K11" s="15"/>
      <c r="L11" s="15"/>
      <c r="M11" s="15"/>
      <c r="N11" s="15"/>
      <c r="O11" s="15"/>
      <c r="P11" s="15"/>
    </row>
    <row r="12" spans="1:16" x14ac:dyDescent="0.25">
      <c r="A12" s="15"/>
      <c r="B12" s="15"/>
      <c r="C12" s="15"/>
      <c r="D12" s="15"/>
      <c r="E12" s="15"/>
      <c r="F12" s="15"/>
      <c r="G12" s="15"/>
      <c r="H12" s="15"/>
      <c r="I12" s="15"/>
      <c r="J12" s="15"/>
      <c r="K12" s="15"/>
      <c r="L12" s="15"/>
      <c r="M12" s="15"/>
      <c r="N12" s="15"/>
      <c r="O12" s="15"/>
      <c r="P12" s="15"/>
    </row>
    <row r="13" spans="1:16" x14ac:dyDescent="0.25">
      <c r="A13" s="15"/>
      <c r="B13" s="15"/>
      <c r="C13" s="15"/>
      <c r="D13" s="15"/>
      <c r="E13" s="15"/>
      <c r="F13" s="15"/>
      <c r="G13" s="15"/>
      <c r="H13" s="15"/>
      <c r="I13" s="15"/>
      <c r="J13" s="15"/>
      <c r="K13" s="15"/>
      <c r="L13" s="15"/>
      <c r="M13" s="15"/>
      <c r="N13" s="15"/>
      <c r="O13" s="15"/>
      <c r="P13" s="15"/>
    </row>
    <row r="14" spans="1:16" x14ac:dyDescent="0.25">
      <c r="A14" s="15"/>
      <c r="B14" s="15"/>
      <c r="C14" s="15"/>
      <c r="D14" s="15"/>
      <c r="E14" s="15"/>
      <c r="F14" s="15"/>
      <c r="G14" s="15"/>
      <c r="H14" s="15"/>
      <c r="I14" s="15"/>
      <c r="J14" s="15"/>
      <c r="K14" s="15"/>
      <c r="L14" s="15"/>
      <c r="M14" s="15"/>
      <c r="N14" s="15"/>
      <c r="O14" s="15"/>
      <c r="P14" s="15"/>
    </row>
    <row r="15" spans="1:16" x14ac:dyDescent="0.25">
      <c r="A15" s="15"/>
      <c r="B15" s="15"/>
      <c r="C15" s="15"/>
      <c r="D15" s="15"/>
      <c r="E15" s="15"/>
      <c r="F15" s="15"/>
      <c r="G15" s="15"/>
      <c r="H15" s="15"/>
      <c r="I15" s="15"/>
      <c r="J15" s="15"/>
      <c r="K15" s="15"/>
      <c r="L15" s="15"/>
      <c r="M15" s="15"/>
      <c r="N15" s="15"/>
      <c r="O15" s="15"/>
      <c r="P15" s="15"/>
    </row>
    <row r="16" spans="1:16" x14ac:dyDescent="0.25">
      <c r="A16" s="15"/>
      <c r="B16" s="15"/>
      <c r="C16" s="15"/>
      <c r="D16" s="15"/>
      <c r="E16" s="15"/>
      <c r="F16" s="15"/>
      <c r="G16" s="15"/>
      <c r="H16" s="15"/>
      <c r="I16" s="15"/>
      <c r="J16" s="15"/>
      <c r="K16" s="15"/>
      <c r="L16" s="15"/>
      <c r="M16" s="15"/>
      <c r="N16" s="15"/>
      <c r="O16" s="15"/>
      <c r="P16" s="15"/>
    </row>
    <row r="17" spans="1:16" x14ac:dyDescent="0.25">
      <c r="A17" s="15"/>
      <c r="B17" s="15"/>
      <c r="C17" s="15"/>
      <c r="D17" s="15"/>
      <c r="E17" s="15"/>
      <c r="F17" s="15"/>
      <c r="G17" s="15"/>
      <c r="H17" s="15"/>
      <c r="I17" s="15"/>
      <c r="J17" s="15"/>
      <c r="K17" s="15"/>
      <c r="L17" s="15"/>
      <c r="M17" s="15"/>
      <c r="N17" s="15"/>
      <c r="O17" s="15"/>
      <c r="P17" s="15"/>
    </row>
    <row r="18" spans="1:16" x14ac:dyDescent="0.25">
      <c r="A18" s="15"/>
      <c r="B18" s="15"/>
      <c r="C18" s="15"/>
      <c r="D18" s="15"/>
      <c r="E18" s="15"/>
      <c r="F18" s="15"/>
      <c r="G18" s="15"/>
      <c r="H18" s="15"/>
      <c r="I18" s="15"/>
      <c r="J18" s="15"/>
      <c r="K18" s="15"/>
      <c r="L18" s="15"/>
      <c r="M18" s="15"/>
      <c r="N18" s="15"/>
      <c r="O18" s="15"/>
      <c r="P18" s="15"/>
    </row>
    <row r="19" spans="1:16" x14ac:dyDescent="0.25">
      <c r="A19" s="15"/>
      <c r="B19" s="15"/>
      <c r="C19" s="15"/>
      <c r="D19" s="15"/>
      <c r="E19" s="15"/>
      <c r="F19" s="15"/>
      <c r="G19" s="15"/>
      <c r="H19" s="15"/>
      <c r="I19" s="15"/>
      <c r="J19" s="15"/>
      <c r="K19" s="15"/>
      <c r="L19" s="15"/>
      <c r="M19" s="15"/>
      <c r="N19" s="15"/>
      <c r="O19" s="15"/>
      <c r="P19" s="15"/>
    </row>
    <row r="20" spans="1:16" x14ac:dyDescent="0.25">
      <c r="A20" s="15"/>
      <c r="B20" s="15"/>
      <c r="C20" s="15"/>
      <c r="D20" s="15"/>
      <c r="E20" s="15"/>
      <c r="F20" s="15"/>
      <c r="G20" s="15"/>
      <c r="H20" s="15"/>
      <c r="I20" s="15"/>
      <c r="J20" s="15"/>
      <c r="K20" s="15"/>
      <c r="L20" s="15"/>
      <c r="M20" s="15"/>
      <c r="N20" s="15"/>
      <c r="O20" s="15"/>
      <c r="P20" s="15"/>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1"/>
  <dimension ref="A1:T22"/>
  <sheetViews>
    <sheetView workbookViewId="0">
      <selection activeCell="A2" sqref="A2"/>
    </sheetView>
  </sheetViews>
  <sheetFormatPr defaultRowHeight="15" x14ac:dyDescent="0.25"/>
  <cols>
    <col min="1" max="1" width="17.28515625" style="20" bestFit="1" customWidth="1"/>
    <col min="2" max="2" width="17.28515625" style="20" customWidth="1"/>
    <col min="3" max="4" width="10.7109375" style="20" customWidth="1"/>
    <col min="5" max="5" width="17.7109375" style="20" customWidth="1"/>
    <col min="6" max="6" width="19.85546875" style="20" customWidth="1"/>
    <col min="7" max="7" width="10.7109375" style="20" customWidth="1"/>
    <col min="8" max="8" width="12.7109375" style="20" customWidth="1"/>
    <col min="9" max="9" width="10.7109375" style="20" customWidth="1"/>
    <col min="10" max="10" width="15.7109375" style="20" customWidth="1"/>
    <col min="11" max="11" width="17.7109375" style="20" customWidth="1"/>
    <col min="12" max="14" width="10.7109375" style="20" customWidth="1"/>
    <col min="15" max="15" width="15.85546875" style="20" customWidth="1"/>
    <col min="16" max="16" width="10.7109375" style="20" customWidth="1"/>
    <col min="17" max="17" width="14.7109375" style="20" customWidth="1"/>
    <col min="18" max="19" width="10.7109375" style="20" customWidth="1"/>
    <col min="20" max="20" width="9.140625" style="20"/>
  </cols>
  <sheetData>
    <row r="1" spans="1:20" x14ac:dyDescent="0.25">
      <c r="A1" s="18" t="s">
        <v>53</v>
      </c>
      <c r="B1" s="18" t="s">
        <v>885</v>
      </c>
      <c r="C1" s="18" t="s">
        <v>886</v>
      </c>
      <c r="D1" s="18" t="s">
        <v>887</v>
      </c>
      <c r="E1" s="18" t="s">
        <v>888</v>
      </c>
      <c r="F1" s="18" t="s">
        <v>889</v>
      </c>
      <c r="G1" s="18" t="s">
        <v>890</v>
      </c>
      <c r="H1" s="18" t="s">
        <v>891</v>
      </c>
      <c r="I1" s="18" t="s">
        <v>858</v>
      </c>
      <c r="J1" s="18" t="s">
        <v>892</v>
      </c>
      <c r="K1" s="18" t="s">
        <v>893</v>
      </c>
      <c r="L1" s="18" t="s">
        <v>894</v>
      </c>
      <c r="M1" s="18" t="s">
        <v>895</v>
      </c>
      <c r="N1" s="18" t="s">
        <v>896</v>
      </c>
      <c r="O1" s="18" t="s">
        <v>897</v>
      </c>
      <c r="P1" s="18" t="s">
        <v>898</v>
      </c>
      <c r="Q1" s="18" t="s">
        <v>899</v>
      </c>
      <c r="R1" s="18" t="s">
        <v>900</v>
      </c>
      <c r="S1" s="18" t="s">
        <v>68</v>
      </c>
      <c r="T1" s="18" t="s">
        <v>901</v>
      </c>
    </row>
    <row r="2" spans="1:20" x14ac:dyDescent="0.25">
      <c r="A2" s="18"/>
      <c r="B2" s="18"/>
      <c r="C2" s="18" t="s">
        <v>0</v>
      </c>
      <c r="D2" s="18" t="s">
        <v>0</v>
      </c>
      <c r="E2" s="18"/>
      <c r="F2" s="18"/>
      <c r="G2" s="18" t="s">
        <v>0</v>
      </c>
      <c r="H2" s="18" t="s">
        <v>0</v>
      </c>
      <c r="I2" s="18" t="s">
        <v>21</v>
      </c>
      <c r="J2" s="18"/>
      <c r="K2" s="18"/>
      <c r="L2" s="18" t="s">
        <v>0</v>
      </c>
      <c r="M2" s="18" t="s">
        <v>0</v>
      </c>
      <c r="N2" s="18" t="s">
        <v>0</v>
      </c>
      <c r="O2" s="18"/>
      <c r="P2" s="18" t="s">
        <v>91</v>
      </c>
      <c r="Q2" s="18"/>
      <c r="R2" s="18" t="s">
        <v>0</v>
      </c>
      <c r="S2" s="18" t="s">
        <v>0</v>
      </c>
      <c r="T2" s="18"/>
    </row>
    <row r="3" spans="1:20" x14ac:dyDescent="0.25">
      <c r="A3" s="20" t="s">
        <v>92</v>
      </c>
      <c r="B3" s="20" t="s">
        <v>384</v>
      </c>
      <c r="C3" s="20">
        <v>6000</v>
      </c>
      <c r="D3" s="20">
        <v>6000</v>
      </c>
      <c r="E3" s="20" t="s">
        <v>689</v>
      </c>
      <c r="F3" s="20" t="s">
        <v>902</v>
      </c>
      <c r="G3" s="20">
        <v>32</v>
      </c>
      <c r="H3" s="20">
        <v>35</v>
      </c>
      <c r="I3" s="20">
        <v>122.9</v>
      </c>
      <c r="J3" s="20" t="s">
        <v>903</v>
      </c>
      <c r="K3" s="20" t="s">
        <v>689</v>
      </c>
      <c r="L3" s="20">
        <v>110</v>
      </c>
      <c r="M3" s="20">
        <v>300</v>
      </c>
      <c r="N3" s="20">
        <v>10</v>
      </c>
      <c r="O3" s="20">
        <v>1</v>
      </c>
      <c r="P3" s="20">
        <v>15</v>
      </c>
      <c r="Q3" s="20">
        <v>0</v>
      </c>
      <c r="R3" s="20">
        <v>25</v>
      </c>
      <c r="S3" s="20">
        <v>500</v>
      </c>
      <c r="T3" s="20">
        <v>0</v>
      </c>
    </row>
    <row r="11" spans="1:20" x14ac:dyDescent="0.25">
      <c r="A11" s="192"/>
      <c r="B11" s="192"/>
      <c r="C11" s="192"/>
      <c r="D11" s="192"/>
      <c r="E11" s="192"/>
      <c r="F11" s="192"/>
      <c r="G11" s="192"/>
      <c r="H11" s="192"/>
    </row>
    <row r="18" spans="9:11" x14ac:dyDescent="0.25">
      <c r="I18" s="192"/>
      <c r="J18" s="192"/>
      <c r="K18" s="192"/>
    </row>
    <row r="19" spans="9:11" x14ac:dyDescent="0.25">
      <c r="I19" s="21"/>
      <c r="J19" s="21"/>
      <c r="K19" s="21"/>
    </row>
    <row r="22" spans="9:11" x14ac:dyDescent="0.25">
      <c r="I22" s="192"/>
      <c r="J22" s="192"/>
      <c r="K22" s="192"/>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2"/>
  <dimension ref="A1:J20"/>
  <sheetViews>
    <sheetView workbookViewId="0">
      <selection activeCell="A3" sqref="A3"/>
    </sheetView>
  </sheetViews>
  <sheetFormatPr defaultRowHeight="15" x14ac:dyDescent="0.25"/>
  <cols>
    <col min="1" max="10" width="12.7109375" style="20" customWidth="1"/>
    <col min="11" max="17" width="12.7109375" customWidth="1"/>
  </cols>
  <sheetData>
    <row r="1" spans="1:10" x14ac:dyDescent="0.25">
      <c r="A1" s="23" t="s">
        <v>904</v>
      </c>
      <c r="B1" s="23" t="s">
        <v>905</v>
      </c>
      <c r="C1" s="23" t="s">
        <v>906</v>
      </c>
      <c r="D1" s="23" t="s">
        <v>907</v>
      </c>
      <c r="E1" s="23" t="s">
        <v>908</v>
      </c>
      <c r="F1" s="23" t="s">
        <v>909</v>
      </c>
      <c r="G1" s="23" t="s">
        <v>910</v>
      </c>
      <c r="H1" s="23" t="s">
        <v>911</v>
      </c>
      <c r="I1" s="23" t="s">
        <v>912</v>
      </c>
      <c r="J1" s="23" t="s">
        <v>913</v>
      </c>
    </row>
    <row r="2" spans="1:10" x14ac:dyDescent="0.25">
      <c r="A2" s="23" t="s">
        <v>91</v>
      </c>
      <c r="B2" s="23" t="s">
        <v>91</v>
      </c>
      <c r="C2" s="23"/>
      <c r="D2" s="23" t="s">
        <v>0</v>
      </c>
      <c r="E2" s="23" t="s">
        <v>0</v>
      </c>
      <c r="F2" s="23" t="s">
        <v>0</v>
      </c>
      <c r="G2" s="23" t="s">
        <v>0</v>
      </c>
      <c r="H2" s="23" t="s">
        <v>0</v>
      </c>
      <c r="I2" s="23" t="s">
        <v>0</v>
      </c>
      <c r="J2" s="23"/>
    </row>
    <row r="3" spans="1:10" x14ac:dyDescent="0.25">
      <c r="A3" s="193"/>
      <c r="B3" s="193"/>
      <c r="C3" s="193"/>
      <c r="D3" s="193"/>
      <c r="E3" s="193"/>
      <c r="F3" s="193"/>
      <c r="G3" s="193"/>
      <c r="H3" s="193"/>
      <c r="I3" s="193"/>
    </row>
    <row r="4" spans="1:10" x14ac:dyDescent="0.25">
      <c r="A4" s="193"/>
      <c r="B4" s="193"/>
      <c r="C4" s="193"/>
      <c r="D4" s="193"/>
      <c r="E4" s="193"/>
      <c r="F4" s="193"/>
      <c r="G4" s="193"/>
      <c r="H4" s="193"/>
      <c r="I4" s="193"/>
    </row>
    <row r="5" spans="1:10" x14ac:dyDescent="0.25">
      <c r="A5" s="193"/>
      <c r="B5" s="193"/>
      <c r="C5" s="193"/>
      <c r="D5" s="193"/>
      <c r="E5" s="193"/>
      <c r="F5" s="193"/>
      <c r="G5" s="193"/>
      <c r="H5" s="193"/>
      <c r="I5" s="193"/>
    </row>
    <row r="6" spans="1:10" x14ac:dyDescent="0.25">
      <c r="A6" s="193"/>
      <c r="B6" s="193"/>
      <c r="C6" s="193"/>
      <c r="D6" s="193"/>
      <c r="E6" s="193"/>
      <c r="F6" s="193"/>
      <c r="G6" s="193"/>
      <c r="H6" s="193"/>
      <c r="I6" s="193"/>
    </row>
    <row r="7" spans="1:10" x14ac:dyDescent="0.25">
      <c r="A7" s="193"/>
      <c r="B7" s="193"/>
      <c r="C7" s="193"/>
      <c r="D7" s="193"/>
      <c r="E7" s="193"/>
      <c r="F7" s="193"/>
      <c r="G7" s="193"/>
      <c r="H7" s="193"/>
      <c r="I7" s="193"/>
    </row>
    <row r="8" spans="1:10" x14ac:dyDescent="0.25">
      <c r="A8" s="193"/>
      <c r="B8" s="193"/>
      <c r="C8" s="193"/>
      <c r="D8" s="193"/>
      <c r="E8" s="193"/>
      <c r="F8" s="193"/>
      <c r="G8" s="193"/>
      <c r="H8" s="193"/>
      <c r="I8" s="193"/>
    </row>
    <row r="9" spans="1:10" x14ac:dyDescent="0.25">
      <c r="A9" s="193"/>
      <c r="B9" s="193"/>
      <c r="C9" s="193"/>
      <c r="D9" s="193"/>
      <c r="E9" s="193"/>
      <c r="F9" s="193"/>
      <c r="G9" s="193"/>
      <c r="H9" s="193"/>
      <c r="I9" s="193"/>
    </row>
    <row r="10" spans="1:10" x14ac:dyDescent="0.25">
      <c r="A10" s="193"/>
      <c r="B10" s="193"/>
      <c r="C10" s="193"/>
      <c r="D10" s="193"/>
      <c r="E10" s="193"/>
      <c r="F10" s="193"/>
      <c r="G10" s="193"/>
      <c r="H10" s="193"/>
      <c r="I10" s="193"/>
    </row>
    <row r="11" spans="1:10" x14ac:dyDescent="0.25">
      <c r="A11" s="193"/>
      <c r="B11" s="193"/>
      <c r="C11" s="193"/>
      <c r="D11" s="193"/>
      <c r="E11" s="193"/>
      <c r="F11" s="193"/>
      <c r="G11" s="193"/>
      <c r="H11" s="193"/>
      <c r="I11" s="193"/>
    </row>
    <row r="12" spans="1:10" x14ac:dyDescent="0.25">
      <c r="A12" s="193"/>
      <c r="B12" s="193"/>
      <c r="C12" s="193"/>
      <c r="D12" s="193"/>
      <c r="E12" s="193"/>
      <c r="F12" s="193"/>
      <c r="G12" s="193"/>
      <c r="H12" s="193"/>
      <c r="I12" s="193"/>
    </row>
    <row r="13" spans="1:10" x14ac:dyDescent="0.25">
      <c r="A13" s="193"/>
      <c r="B13" s="193"/>
      <c r="C13" s="193"/>
      <c r="D13" s="193"/>
      <c r="E13" s="193"/>
      <c r="F13" s="193"/>
      <c r="G13" s="193"/>
      <c r="H13" s="193"/>
      <c r="I13" s="193"/>
    </row>
    <row r="14" spans="1:10" x14ac:dyDescent="0.25">
      <c r="A14" s="193"/>
      <c r="B14" s="193"/>
      <c r="C14" s="193"/>
      <c r="D14" s="193"/>
      <c r="E14" s="193"/>
      <c r="F14" s="193"/>
      <c r="G14" s="193"/>
      <c r="H14" s="193"/>
      <c r="I14" s="193"/>
    </row>
    <row r="15" spans="1:10" x14ac:dyDescent="0.25">
      <c r="A15" s="193"/>
      <c r="B15" s="193"/>
      <c r="C15" s="193"/>
      <c r="D15" s="193"/>
      <c r="E15" s="193"/>
      <c r="F15" s="193"/>
      <c r="G15" s="193"/>
      <c r="H15" s="193"/>
      <c r="I15" s="193"/>
    </row>
    <row r="16" spans="1:10" x14ac:dyDescent="0.25">
      <c r="A16" s="193"/>
      <c r="B16" s="193"/>
      <c r="C16" s="193"/>
      <c r="D16" s="193"/>
      <c r="E16" s="193"/>
      <c r="F16" s="193"/>
      <c r="G16" s="193"/>
      <c r="H16" s="193"/>
      <c r="I16" s="193"/>
    </row>
    <row r="17" spans="1:9" x14ac:dyDescent="0.25">
      <c r="A17" s="193"/>
      <c r="B17" s="193"/>
      <c r="C17" s="193"/>
      <c r="D17" s="193"/>
      <c r="E17" s="193"/>
      <c r="F17" s="193"/>
      <c r="G17" s="193"/>
      <c r="H17" s="193"/>
      <c r="I17" s="193"/>
    </row>
    <row r="18" spans="1:9" x14ac:dyDescent="0.25">
      <c r="A18" s="193"/>
      <c r="B18" s="193"/>
      <c r="C18" s="193"/>
      <c r="D18" s="193"/>
      <c r="E18" s="193"/>
      <c r="F18" s="193"/>
      <c r="G18" s="193"/>
      <c r="H18" s="193"/>
      <c r="I18" s="193"/>
    </row>
    <row r="19" spans="1:9" x14ac:dyDescent="0.25">
      <c r="A19" s="193"/>
      <c r="B19" s="193"/>
      <c r="C19" s="193"/>
      <c r="D19" s="193"/>
      <c r="E19" s="193"/>
      <c r="F19" s="193"/>
      <c r="G19" s="193"/>
      <c r="H19" s="193"/>
      <c r="I19" s="193"/>
    </row>
    <row r="20" spans="1:9" x14ac:dyDescent="0.25">
      <c r="A20" s="193"/>
      <c r="B20" s="193"/>
      <c r="C20" s="193"/>
      <c r="D20" s="193"/>
      <c r="E20" s="193"/>
      <c r="F20" s="193"/>
      <c r="G20" s="193"/>
      <c r="H20" s="193"/>
      <c r="I20" s="19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58"/>
  <dimension ref="A1:AB14"/>
  <sheetViews>
    <sheetView workbookViewId="0">
      <selection activeCell="AB3" sqref="AB3"/>
    </sheetView>
  </sheetViews>
  <sheetFormatPr defaultRowHeight="15" x14ac:dyDescent="0.25"/>
  <cols>
    <col min="1" max="1" width="19.140625" customWidth="1"/>
    <col min="3" max="3" width="7" customWidth="1"/>
    <col min="4" max="4" width="8.85546875" customWidth="1"/>
    <col min="5" max="5" width="10.140625" customWidth="1"/>
    <col min="11" max="11" width="15.140625" customWidth="1"/>
    <col min="12" max="12" width="13.85546875" customWidth="1"/>
    <col min="15" max="15" width="14" customWidth="1"/>
    <col min="17" max="17" width="9.140625" customWidth="1"/>
    <col min="18" max="18" width="11.140625" customWidth="1"/>
    <col min="19" max="19" width="10.42578125" customWidth="1"/>
    <col min="20" max="20" width="11.5703125" customWidth="1"/>
    <col min="21" max="21" width="11" customWidth="1"/>
    <col min="22" max="22" width="11.140625" customWidth="1"/>
    <col min="23" max="23" width="10.42578125" customWidth="1"/>
    <col min="24" max="24" width="11.5703125" customWidth="1"/>
    <col min="25" max="25" width="11" customWidth="1"/>
    <col min="26" max="26" width="11.140625" customWidth="1"/>
    <col min="27" max="27" width="10.42578125" customWidth="1"/>
    <col min="28" max="28" width="11.5703125" customWidth="1"/>
  </cols>
  <sheetData>
    <row r="1" spans="1:28" x14ac:dyDescent="0.25">
      <c r="A1" s="48" t="s">
        <v>616</v>
      </c>
      <c r="B1" s="48" t="s">
        <v>651</v>
      </c>
      <c r="C1" s="59" t="s">
        <v>819</v>
      </c>
      <c r="D1" s="49" t="s">
        <v>820</v>
      </c>
      <c r="E1" s="49" t="s">
        <v>821</v>
      </c>
      <c r="F1" s="49" t="s">
        <v>647</v>
      </c>
      <c r="G1" s="49" t="s">
        <v>822</v>
      </c>
      <c r="H1" s="49" t="s">
        <v>823</v>
      </c>
      <c r="I1" s="49" t="s">
        <v>824</v>
      </c>
      <c r="J1" s="50" t="s">
        <v>825</v>
      </c>
      <c r="K1" s="48" t="s">
        <v>826</v>
      </c>
      <c r="L1" s="59" t="s">
        <v>827</v>
      </c>
      <c r="M1" s="49" t="s">
        <v>828</v>
      </c>
      <c r="N1" s="50" t="s">
        <v>829</v>
      </c>
      <c r="O1" s="48" t="s">
        <v>830</v>
      </c>
      <c r="P1" s="50" t="s">
        <v>831</v>
      </c>
      <c r="Q1" s="48" t="s">
        <v>832</v>
      </c>
      <c r="R1" s="49" t="s">
        <v>833</v>
      </c>
      <c r="S1" s="49" t="s">
        <v>834</v>
      </c>
      <c r="T1" s="50" t="s">
        <v>835</v>
      </c>
      <c r="U1" s="48" t="s">
        <v>836</v>
      </c>
      <c r="V1" s="49" t="s">
        <v>837</v>
      </c>
      <c r="W1" s="49" t="s">
        <v>838</v>
      </c>
      <c r="X1" s="50" t="s">
        <v>839</v>
      </c>
      <c r="Y1" s="48" t="s">
        <v>840</v>
      </c>
      <c r="Z1" s="49" t="s">
        <v>841</v>
      </c>
      <c r="AA1" s="49" t="s">
        <v>842</v>
      </c>
      <c r="AB1" s="50" t="s">
        <v>843</v>
      </c>
    </row>
    <row r="2" spans="1:28" x14ac:dyDescent="0.25">
      <c r="A2" s="61"/>
      <c r="B2" s="61"/>
      <c r="C2" s="62" t="s">
        <v>0</v>
      </c>
      <c r="D2" s="62" t="s">
        <v>0</v>
      </c>
      <c r="E2" s="62" t="s">
        <v>0</v>
      </c>
      <c r="F2" s="62" t="s">
        <v>0</v>
      </c>
      <c r="G2" s="62" t="s">
        <v>0</v>
      </c>
      <c r="H2" s="62" t="s">
        <v>0</v>
      </c>
      <c r="I2" s="62" t="s">
        <v>0</v>
      </c>
      <c r="J2" s="63" t="s">
        <v>0</v>
      </c>
      <c r="K2" s="61"/>
      <c r="L2" s="62"/>
      <c r="M2" s="62" t="s">
        <v>0</v>
      </c>
      <c r="N2" s="63" t="s">
        <v>0</v>
      </c>
      <c r="O2" s="61" t="s">
        <v>595</v>
      </c>
      <c r="P2" s="63" t="s">
        <v>595</v>
      </c>
      <c r="Q2" s="61"/>
      <c r="R2" s="62" t="s">
        <v>0</v>
      </c>
      <c r="S2" s="62" t="s">
        <v>0</v>
      </c>
      <c r="T2" s="63" t="s">
        <v>0</v>
      </c>
      <c r="U2" s="61"/>
      <c r="V2" s="62" t="s">
        <v>0</v>
      </c>
      <c r="W2" s="62" t="s">
        <v>0</v>
      </c>
      <c r="X2" s="63" t="s">
        <v>0</v>
      </c>
      <c r="Y2" s="61"/>
      <c r="Z2" s="62" t="s">
        <v>0</v>
      </c>
      <c r="AA2" s="62" t="s">
        <v>0</v>
      </c>
      <c r="AB2" s="63" t="s">
        <v>0</v>
      </c>
    </row>
    <row r="3" spans="1:28" x14ac:dyDescent="0.25">
      <c r="A3" s="176" t="s">
        <v>776</v>
      </c>
      <c r="B3" s="69">
        <v>10</v>
      </c>
      <c r="C3" s="70">
        <v>250</v>
      </c>
      <c r="D3" s="70">
        <v>175</v>
      </c>
      <c r="E3" s="70">
        <v>180</v>
      </c>
      <c r="F3" s="70">
        <v>1000</v>
      </c>
      <c r="G3" s="70">
        <v>1000</v>
      </c>
      <c r="H3" s="70">
        <v>1000</v>
      </c>
      <c r="I3" s="70">
        <v>200</v>
      </c>
      <c r="J3" s="71">
        <v>200</v>
      </c>
      <c r="K3" s="176" t="s">
        <v>847</v>
      </c>
      <c r="L3" s="153" t="s">
        <v>847</v>
      </c>
      <c r="M3" s="70">
        <v>100</v>
      </c>
      <c r="N3" s="71">
        <v>100</v>
      </c>
      <c r="O3" s="69">
        <v>1.2</v>
      </c>
      <c r="P3" s="71">
        <v>3</v>
      </c>
      <c r="Q3" s="69">
        <v>6</v>
      </c>
      <c r="R3" s="70">
        <v>12</v>
      </c>
      <c r="S3" s="70">
        <v>300</v>
      </c>
      <c r="T3" s="71">
        <v>12</v>
      </c>
      <c r="U3" s="69">
        <v>6</v>
      </c>
      <c r="V3" s="70">
        <v>10</v>
      </c>
      <c r="W3" s="70">
        <v>300</v>
      </c>
      <c r="X3" s="71">
        <v>10</v>
      </c>
      <c r="Y3" s="69">
        <v>6</v>
      </c>
      <c r="Z3" s="70">
        <v>10</v>
      </c>
      <c r="AA3" s="70">
        <v>300</v>
      </c>
      <c r="AB3" s="71">
        <v>10</v>
      </c>
    </row>
    <row r="4" spans="1:28" x14ac:dyDescent="0.25">
      <c r="A4" s="176" t="s">
        <v>776</v>
      </c>
      <c r="B4" s="69">
        <v>10</v>
      </c>
      <c r="C4" s="70">
        <v>250</v>
      </c>
      <c r="D4" s="70">
        <v>175</v>
      </c>
      <c r="E4" s="70">
        <v>175</v>
      </c>
      <c r="F4" s="70">
        <v>1000</v>
      </c>
      <c r="G4" s="70">
        <v>1500</v>
      </c>
      <c r="H4" s="70">
        <v>1000</v>
      </c>
      <c r="I4" s="70">
        <v>175</v>
      </c>
      <c r="J4" s="71">
        <v>175</v>
      </c>
      <c r="K4" s="176" t="s">
        <v>880</v>
      </c>
      <c r="L4" s="153" t="s">
        <v>881</v>
      </c>
      <c r="M4" s="70">
        <v>100</v>
      </c>
      <c r="N4" s="71">
        <v>100</v>
      </c>
      <c r="O4" s="69">
        <v>1.2</v>
      </c>
      <c r="P4" s="71">
        <v>3</v>
      </c>
      <c r="Q4" s="69">
        <v>6</v>
      </c>
      <c r="R4" s="70">
        <v>12</v>
      </c>
      <c r="S4" s="70">
        <v>200</v>
      </c>
      <c r="T4" s="71">
        <v>12</v>
      </c>
      <c r="U4" s="69">
        <v>6</v>
      </c>
      <c r="V4" s="70">
        <v>10</v>
      </c>
      <c r="W4" s="70">
        <v>300</v>
      </c>
      <c r="X4" s="71">
        <v>10</v>
      </c>
      <c r="Y4" s="69">
        <v>6</v>
      </c>
      <c r="Z4" s="70">
        <v>12</v>
      </c>
      <c r="AA4" s="70">
        <v>300</v>
      </c>
      <c r="AB4" s="71">
        <v>10</v>
      </c>
    </row>
    <row r="5" spans="1:28" x14ac:dyDescent="0.25">
      <c r="A5" s="176"/>
      <c r="B5" s="69"/>
      <c r="C5" s="70"/>
      <c r="D5" s="70"/>
      <c r="E5" s="70"/>
      <c r="F5" s="70"/>
      <c r="G5" s="70"/>
      <c r="H5" s="70"/>
      <c r="I5" s="70"/>
      <c r="J5" s="71"/>
      <c r="K5" s="176"/>
      <c r="L5" s="153"/>
      <c r="M5" s="70"/>
      <c r="N5" s="71"/>
      <c r="O5" s="69"/>
      <c r="P5" s="71"/>
      <c r="Q5" s="69"/>
      <c r="R5" s="70"/>
      <c r="S5" s="70"/>
      <c r="T5" s="71"/>
      <c r="U5" s="69"/>
      <c r="V5" s="70"/>
      <c r="W5" s="70"/>
      <c r="X5" s="71"/>
      <c r="Y5" s="69"/>
      <c r="Z5" s="70"/>
      <c r="AA5" s="70"/>
      <c r="AB5" s="71"/>
    </row>
    <row r="6" spans="1:28" x14ac:dyDescent="0.25">
      <c r="A6" s="176"/>
      <c r="B6" s="69"/>
      <c r="C6" s="70"/>
      <c r="D6" s="70"/>
      <c r="E6" s="70"/>
      <c r="F6" s="70"/>
      <c r="G6" s="70"/>
      <c r="H6" s="70"/>
      <c r="I6" s="70"/>
      <c r="J6" s="71"/>
      <c r="K6" s="176"/>
      <c r="L6" s="153"/>
      <c r="M6" s="70"/>
      <c r="N6" s="71"/>
      <c r="O6" s="69"/>
      <c r="P6" s="71"/>
      <c r="Q6" s="69"/>
      <c r="R6" s="70"/>
      <c r="S6" s="70"/>
      <c r="T6" s="71"/>
      <c r="U6" s="69"/>
      <c r="V6" s="70"/>
      <c r="W6" s="70"/>
      <c r="X6" s="71"/>
      <c r="Y6" s="69"/>
      <c r="Z6" s="70"/>
      <c r="AA6" s="70"/>
      <c r="AB6" s="71"/>
    </row>
    <row r="7" spans="1:28" x14ac:dyDescent="0.25">
      <c r="A7" s="176"/>
      <c r="B7" s="69"/>
      <c r="C7" s="70"/>
      <c r="D7" s="86"/>
      <c r="E7" s="86"/>
      <c r="F7" s="86"/>
      <c r="G7" s="86"/>
      <c r="H7" s="86"/>
      <c r="I7" s="86"/>
      <c r="J7" s="162"/>
      <c r="K7" s="176"/>
      <c r="L7" s="153"/>
      <c r="M7" s="86"/>
      <c r="N7" s="162"/>
      <c r="O7" s="69"/>
      <c r="P7" s="71"/>
      <c r="Q7" s="161"/>
      <c r="R7" s="86"/>
      <c r="S7" s="86"/>
      <c r="T7" s="162"/>
      <c r="U7" s="161"/>
      <c r="V7" s="86"/>
      <c r="W7" s="86"/>
      <c r="X7" s="162"/>
      <c r="Y7" s="161"/>
      <c r="Z7" s="86"/>
      <c r="AA7" s="86"/>
      <c r="AB7" s="162"/>
    </row>
    <row r="8" spans="1:28" x14ac:dyDescent="0.25">
      <c r="A8" s="176"/>
      <c r="B8" s="69"/>
      <c r="C8" s="70"/>
      <c r="D8" s="86"/>
      <c r="E8" s="86"/>
      <c r="F8" s="86"/>
      <c r="G8" s="86"/>
      <c r="H8" s="86"/>
      <c r="I8" s="86"/>
      <c r="J8" s="162"/>
      <c r="K8" s="176"/>
      <c r="L8" s="153"/>
      <c r="M8" s="86"/>
      <c r="N8" s="162"/>
      <c r="O8" s="69"/>
      <c r="P8" s="71"/>
      <c r="Q8" s="161"/>
      <c r="R8" s="86"/>
      <c r="S8" s="86"/>
      <c r="T8" s="162"/>
      <c r="U8" s="161"/>
      <c r="V8" s="86"/>
      <c r="W8" s="86"/>
      <c r="X8" s="162"/>
      <c r="Y8" s="161"/>
      <c r="Z8" s="86"/>
      <c r="AA8" s="86"/>
      <c r="AB8" s="162"/>
    </row>
    <row r="9" spans="1:28" x14ac:dyDescent="0.25">
      <c r="A9" s="176"/>
      <c r="B9" s="69"/>
      <c r="C9" s="70"/>
      <c r="D9" s="86"/>
      <c r="E9" s="86"/>
      <c r="F9" s="86"/>
      <c r="G9" s="86"/>
      <c r="H9" s="86"/>
      <c r="I9" s="86"/>
      <c r="J9" s="162"/>
      <c r="K9" s="176"/>
      <c r="L9" s="153"/>
      <c r="M9" s="86"/>
      <c r="N9" s="162"/>
      <c r="O9" s="69"/>
      <c r="P9" s="71"/>
      <c r="Q9" s="161"/>
      <c r="R9" s="86"/>
      <c r="S9" s="86"/>
      <c r="T9" s="162"/>
      <c r="U9" s="161"/>
      <c r="V9" s="86"/>
      <c r="W9" s="86"/>
      <c r="X9" s="162"/>
      <c r="Y9" s="161"/>
      <c r="Z9" s="86"/>
      <c r="AA9" s="86"/>
      <c r="AB9" s="162"/>
    </row>
    <row r="10" spans="1:28" x14ac:dyDescent="0.25">
      <c r="A10" s="176"/>
      <c r="B10" s="69"/>
      <c r="C10" s="86"/>
      <c r="D10" s="86"/>
      <c r="E10" s="86"/>
      <c r="F10" s="86"/>
      <c r="G10" s="86"/>
      <c r="H10" s="86"/>
      <c r="I10" s="86"/>
      <c r="J10" s="162"/>
      <c r="K10" s="176"/>
      <c r="L10" s="180"/>
      <c r="M10" s="86"/>
      <c r="N10" s="162"/>
      <c r="O10" s="69"/>
      <c r="P10" s="162"/>
      <c r="Q10" s="161"/>
      <c r="R10" s="86"/>
      <c r="S10" s="86"/>
      <c r="T10" s="162"/>
      <c r="U10" s="161"/>
      <c r="V10" s="86"/>
      <c r="W10" s="86"/>
      <c r="X10" s="162"/>
      <c r="Y10" s="161"/>
      <c r="Z10" s="86"/>
      <c r="AA10" s="86"/>
      <c r="AB10" s="162"/>
    </row>
    <row r="11" spans="1:28" x14ac:dyDescent="0.25">
      <c r="A11" s="191" t="s">
        <v>694</v>
      </c>
      <c r="B11" s="307" t="s">
        <v>693</v>
      </c>
      <c r="C11" s="308"/>
      <c r="D11" s="308"/>
      <c r="E11" s="308"/>
      <c r="F11" s="308"/>
      <c r="G11" s="308"/>
      <c r="H11" s="308"/>
      <c r="I11" s="308"/>
      <c r="J11" s="309"/>
      <c r="K11" s="307" t="s">
        <v>850</v>
      </c>
      <c r="L11" s="308"/>
      <c r="M11" s="308"/>
      <c r="N11" s="309"/>
      <c r="O11" s="167" t="s">
        <v>851</v>
      </c>
      <c r="P11" s="106"/>
      <c r="Q11" s="307" t="s">
        <v>852</v>
      </c>
      <c r="R11" s="308"/>
      <c r="S11" s="308"/>
      <c r="T11" s="309"/>
      <c r="U11" s="307" t="s">
        <v>853</v>
      </c>
      <c r="V11" s="308"/>
      <c r="W11" s="308"/>
      <c r="X11" s="309"/>
      <c r="Y11" s="307" t="s">
        <v>854</v>
      </c>
      <c r="Z11" s="308"/>
      <c r="AA11" s="308"/>
      <c r="AB11" s="309"/>
    </row>
    <row r="12" spans="1:28" x14ac:dyDescent="0.25">
      <c r="B12" s="184"/>
      <c r="C12" s="184"/>
      <c r="D12" s="184"/>
      <c r="E12" s="184"/>
      <c r="F12" s="184"/>
      <c r="G12" s="184"/>
      <c r="H12" s="184"/>
      <c r="I12" s="184"/>
      <c r="J12" s="184"/>
    </row>
    <row r="13" spans="1:28" x14ac:dyDescent="0.25">
      <c r="B13" s="184"/>
      <c r="C13" s="184"/>
      <c r="D13" s="184"/>
      <c r="E13" s="184"/>
      <c r="F13" s="184"/>
      <c r="G13" s="184"/>
      <c r="H13" s="184"/>
      <c r="I13" s="184"/>
      <c r="J13" s="184"/>
    </row>
    <row r="14" spans="1:28" x14ac:dyDescent="0.25">
      <c r="B14" s="184"/>
      <c r="C14" s="184"/>
      <c r="D14" s="184"/>
      <c r="E14" s="184"/>
      <c r="F14" s="184"/>
      <c r="G14" s="184"/>
      <c r="H14" s="184"/>
      <c r="I14" s="184"/>
      <c r="J14" s="184"/>
    </row>
  </sheetData>
  <mergeCells count="5">
    <mergeCell ref="B11:J11"/>
    <mergeCell ref="K11:N11"/>
    <mergeCell ref="Q11:T11"/>
    <mergeCell ref="U11:X11"/>
    <mergeCell ref="Y11:AB11"/>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9"/>
  <dimension ref="A1:U19"/>
  <sheetViews>
    <sheetView workbookViewId="0">
      <selection activeCell="A3" sqref="A3:XFD4"/>
    </sheetView>
  </sheetViews>
  <sheetFormatPr defaultRowHeight="15" x14ac:dyDescent="0.25"/>
  <cols>
    <col min="1" max="1" width="9.5703125" customWidth="1"/>
    <col min="7" max="7" width="18.42578125" customWidth="1"/>
    <col min="8" max="8" width="20.7109375" customWidth="1"/>
    <col min="9" max="9" width="17.7109375" customWidth="1"/>
    <col min="10" max="10" width="20.7109375" customWidth="1"/>
    <col min="11" max="11" width="18.42578125" customWidth="1"/>
    <col min="12" max="12" width="20.7109375" customWidth="1"/>
    <col min="13" max="13" width="17.7109375" customWidth="1"/>
    <col min="14" max="14" width="20.7109375" customWidth="1"/>
    <col min="15" max="15" width="18.42578125" customWidth="1"/>
    <col min="16" max="16" width="20.7109375" customWidth="1"/>
    <col min="17" max="17" width="17.7109375" customWidth="1"/>
    <col min="18" max="18" width="20.7109375" customWidth="1"/>
  </cols>
  <sheetData>
    <row r="1" spans="1:21" x14ac:dyDescent="0.25">
      <c r="A1" s="57" t="s">
        <v>856</v>
      </c>
      <c r="B1" s="48" t="s">
        <v>857</v>
      </c>
      <c r="C1" s="49" t="s">
        <v>858</v>
      </c>
      <c r="D1" s="49" t="s">
        <v>859</v>
      </c>
      <c r="E1" s="49" t="s">
        <v>860</v>
      </c>
      <c r="F1" s="50" t="s">
        <v>861</v>
      </c>
      <c r="G1" s="48" t="s">
        <v>862</v>
      </c>
      <c r="H1" s="49" t="s">
        <v>863</v>
      </c>
      <c r="I1" s="49" t="s">
        <v>864</v>
      </c>
      <c r="J1" s="49" t="s">
        <v>865</v>
      </c>
      <c r="K1" s="48" t="s">
        <v>866</v>
      </c>
      <c r="L1" s="49" t="s">
        <v>867</v>
      </c>
      <c r="M1" s="49" t="s">
        <v>868</v>
      </c>
      <c r="N1" s="50" t="s">
        <v>869</v>
      </c>
      <c r="O1" s="48" t="s">
        <v>870</v>
      </c>
      <c r="P1" s="49" t="s">
        <v>871</v>
      </c>
      <c r="Q1" s="49" t="s">
        <v>872</v>
      </c>
      <c r="R1" s="50" t="s">
        <v>873</v>
      </c>
      <c r="S1" s="62" t="s">
        <v>882</v>
      </c>
      <c r="T1" s="62" t="s">
        <v>883</v>
      </c>
      <c r="U1" s="62" t="s">
        <v>884</v>
      </c>
    </row>
    <row r="2" spans="1:21" x14ac:dyDescent="0.25">
      <c r="A2" s="62"/>
      <c r="B2" s="61" t="s">
        <v>0</v>
      </c>
      <c r="C2" s="62" t="s">
        <v>566</v>
      </c>
      <c r="D2" s="62" t="s">
        <v>90</v>
      </c>
      <c r="E2" s="62" t="s">
        <v>90</v>
      </c>
      <c r="F2" s="63" t="s">
        <v>90</v>
      </c>
      <c r="G2" s="61" t="s">
        <v>171</v>
      </c>
      <c r="H2" s="62" t="s">
        <v>171</v>
      </c>
      <c r="I2" s="62" t="s">
        <v>171</v>
      </c>
      <c r="J2" s="62" t="s">
        <v>171</v>
      </c>
      <c r="K2" s="61" t="s">
        <v>171</v>
      </c>
      <c r="L2" s="62" t="s">
        <v>171</v>
      </c>
      <c r="M2" s="62" t="s">
        <v>171</v>
      </c>
      <c r="N2" s="62" t="s">
        <v>171</v>
      </c>
      <c r="O2" s="61" t="s">
        <v>171</v>
      </c>
      <c r="P2" s="62" t="s">
        <v>171</v>
      </c>
      <c r="Q2" s="62" t="s">
        <v>171</v>
      </c>
      <c r="R2" s="63" t="s">
        <v>171</v>
      </c>
      <c r="S2" s="62" t="s">
        <v>0</v>
      </c>
      <c r="T2" s="62" t="s">
        <v>0</v>
      </c>
      <c r="U2" s="62" t="s">
        <v>0</v>
      </c>
    </row>
    <row r="3" spans="1:21" x14ac:dyDescent="0.25">
      <c r="A3" s="120"/>
      <c r="B3" s="118"/>
      <c r="C3" s="120"/>
      <c r="D3" s="120"/>
      <c r="E3" s="120"/>
      <c r="F3" s="119"/>
      <c r="G3" s="185"/>
      <c r="H3" s="186"/>
      <c r="I3" s="186"/>
      <c r="J3" s="186"/>
      <c r="K3" s="185"/>
      <c r="L3" s="186"/>
      <c r="M3" s="186"/>
      <c r="N3" s="187"/>
      <c r="O3" s="185"/>
      <c r="P3" s="186"/>
      <c r="Q3" s="186"/>
      <c r="R3" s="187"/>
    </row>
    <row r="4" spans="1:21" x14ac:dyDescent="0.25">
      <c r="A4" s="120"/>
      <c r="B4" s="118"/>
      <c r="C4" s="120"/>
      <c r="D4" s="120"/>
      <c r="E4" s="120"/>
      <c r="F4" s="119"/>
      <c r="G4" s="185"/>
      <c r="H4" s="186"/>
      <c r="I4" s="186"/>
      <c r="J4" s="186"/>
      <c r="K4" s="185"/>
      <c r="L4" s="186"/>
      <c r="M4" s="186"/>
      <c r="N4" s="187"/>
      <c r="O4" s="185"/>
      <c r="P4" s="186"/>
      <c r="Q4" s="186"/>
      <c r="R4" s="187"/>
    </row>
    <row r="5" spans="1:21" x14ac:dyDescent="0.25">
      <c r="A5" s="120"/>
      <c r="B5" s="118"/>
      <c r="C5" s="120"/>
      <c r="D5" s="120"/>
      <c r="E5" s="120"/>
      <c r="F5" s="119"/>
      <c r="G5" s="185"/>
      <c r="H5" s="186"/>
      <c r="I5" s="186"/>
      <c r="J5" s="186"/>
      <c r="K5" s="185"/>
      <c r="L5" s="186"/>
      <c r="M5" s="186"/>
      <c r="N5" s="187"/>
      <c r="O5" s="185"/>
      <c r="P5" s="186"/>
      <c r="Q5" s="186"/>
      <c r="R5" s="187"/>
    </row>
    <row r="6" spans="1:21" x14ac:dyDescent="0.25">
      <c r="A6" s="120"/>
      <c r="B6" s="118"/>
      <c r="C6" s="120"/>
      <c r="D6" s="120"/>
      <c r="E6" s="120"/>
      <c r="F6" s="119"/>
      <c r="G6" s="185"/>
      <c r="H6" s="186"/>
      <c r="I6" s="186"/>
      <c r="J6" s="186"/>
      <c r="K6" s="185"/>
      <c r="L6" s="186"/>
      <c r="M6" s="186"/>
      <c r="N6" s="187"/>
      <c r="O6" s="185"/>
      <c r="P6" s="186"/>
      <c r="Q6" s="186"/>
      <c r="R6" s="187"/>
    </row>
    <row r="7" spans="1:21" x14ac:dyDescent="0.25">
      <c r="A7" s="129"/>
      <c r="B7" s="127"/>
      <c r="C7" s="129"/>
      <c r="D7" s="129"/>
      <c r="E7" s="129"/>
      <c r="F7" s="128"/>
      <c r="G7" s="188"/>
      <c r="H7" s="189"/>
      <c r="I7" s="189"/>
      <c r="J7" s="189"/>
      <c r="K7" s="188"/>
      <c r="L7" s="189"/>
      <c r="M7" s="189"/>
      <c r="N7" s="190"/>
      <c r="O7" s="188"/>
      <c r="P7" s="189"/>
      <c r="Q7" s="189"/>
      <c r="R7" s="190"/>
    </row>
    <row r="8" spans="1:21" x14ac:dyDescent="0.25">
      <c r="A8" s="129"/>
      <c r="B8" s="127"/>
      <c r="C8" s="129"/>
      <c r="D8" s="129"/>
      <c r="E8" s="129"/>
      <c r="F8" s="128"/>
      <c r="G8" s="188"/>
      <c r="H8" s="189"/>
      <c r="I8" s="189"/>
      <c r="J8" s="189"/>
      <c r="K8" s="188"/>
      <c r="L8" s="189"/>
      <c r="M8" s="189"/>
      <c r="N8" s="190"/>
      <c r="O8" s="188"/>
      <c r="P8" s="189"/>
      <c r="Q8" s="189"/>
      <c r="R8" s="190"/>
    </row>
    <row r="9" spans="1:21" x14ac:dyDescent="0.25">
      <c r="A9" s="129"/>
      <c r="B9" s="127"/>
      <c r="C9" s="129"/>
      <c r="D9" s="129"/>
      <c r="E9" s="129"/>
      <c r="F9" s="128"/>
      <c r="G9" s="188"/>
      <c r="H9" s="189"/>
      <c r="I9" s="189"/>
      <c r="J9" s="189"/>
      <c r="K9" s="188"/>
      <c r="L9" s="189"/>
      <c r="M9" s="189"/>
      <c r="N9" s="190"/>
      <c r="O9" s="188"/>
      <c r="P9" s="189"/>
      <c r="Q9" s="189"/>
      <c r="R9" s="190"/>
    </row>
    <row r="10" spans="1:21" x14ac:dyDescent="0.25">
      <c r="A10" s="129"/>
      <c r="B10" s="127"/>
      <c r="C10" s="129"/>
      <c r="D10" s="129"/>
      <c r="E10" s="129"/>
      <c r="F10" s="128"/>
      <c r="G10" s="188"/>
      <c r="H10" s="189"/>
      <c r="I10" s="189"/>
      <c r="J10" s="189"/>
      <c r="K10" s="188"/>
      <c r="L10" s="189"/>
      <c r="M10" s="189"/>
      <c r="N10" s="190"/>
      <c r="O10" s="188"/>
      <c r="P10" s="189"/>
      <c r="Q10" s="189"/>
      <c r="R10" s="190"/>
    </row>
    <row r="11" spans="1:21" x14ac:dyDescent="0.25">
      <c r="A11" s="147"/>
      <c r="B11" s="147" t="s">
        <v>878</v>
      </c>
      <c r="C11" s="175"/>
      <c r="D11" s="175"/>
      <c r="E11" s="175"/>
      <c r="F11" s="148"/>
      <c r="G11" s="147" t="s">
        <v>852</v>
      </c>
      <c r="H11" s="150"/>
      <c r="I11" s="175"/>
      <c r="J11" s="152"/>
      <c r="K11" s="147" t="s">
        <v>853</v>
      </c>
      <c r="L11" s="150"/>
      <c r="M11" s="175"/>
      <c r="N11" s="152"/>
      <c r="O11" s="147" t="s">
        <v>854</v>
      </c>
      <c r="P11" s="150"/>
      <c r="Q11" s="175"/>
      <c r="R11" s="152"/>
    </row>
    <row r="12" spans="1:21" x14ac:dyDescent="0.25">
      <c r="B12" s="184"/>
      <c r="C12" s="184"/>
      <c r="D12" s="184"/>
      <c r="E12" s="184"/>
      <c r="F12" s="184"/>
      <c r="G12" s="184"/>
      <c r="H12" s="184"/>
      <c r="I12" s="184"/>
      <c r="J12" s="184"/>
      <c r="K12" s="184"/>
      <c r="L12" s="184"/>
      <c r="M12" s="184"/>
      <c r="N12" s="184"/>
      <c r="O12" s="184"/>
      <c r="P12" s="184"/>
    </row>
    <row r="13" spans="1:21" x14ac:dyDescent="0.25">
      <c r="B13" s="184"/>
      <c r="C13" s="184"/>
      <c r="D13" s="184"/>
      <c r="E13" s="184"/>
      <c r="F13" s="184"/>
      <c r="G13" s="184"/>
      <c r="H13" s="184"/>
      <c r="I13" s="184"/>
      <c r="J13" s="184"/>
      <c r="K13" s="184"/>
      <c r="L13" s="184"/>
      <c r="M13" s="184"/>
      <c r="N13" s="184"/>
      <c r="O13" s="184"/>
      <c r="P13" s="184"/>
    </row>
    <row r="14" spans="1:21" x14ac:dyDescent="0.25">
      <c r="B14" s="184"/>
      <c r="C14" s="184"/>
      <c r="D14" s="184"/>
      <c r="E14" s="184"/>
      <c r="F14" s="184"/>
      <c r="G14" s="184"/>
      <c r="H14" s="184"/>
      <c r="I14" s="184"/>
      <c r="J14" s="184"/>
      <c r="K14" s="184"/>
      <c r="L14" s="184"/>
      <c r="M14" s="184"/>
      <c r="N14" s="184"/>
      <c r="O14" s="184"/>
      <c r="P14" s="184"/>
    </row>
    <row r="15" spans="1:21" x14ac:dyDescent="0.25">
      <c r="B15" s="184"/>
      <c r="C15" s="184"/>
      <c r="D15" s="184"/>
      <c r="E15" s="184"/>
      <c r="F15" s="184"/>
      <c r="G15" s="184"/>
      <c r="H15" s="184"/>
      <c r="I15" s="184"/>
      <c r="J15" s="184"/>
      <c r="K15" s="184"/>
      <c r="L15" s="184"/>
      <c r="M15" s="184"/>
      <c r="N15" s="184"/>
      <c r="O15" s="184"/>
      <c r="P15" s="184"/>
    </row>
    <row r="16" spans="1:21" x14ac:dyDescent="0.25">
      <c r="B16" s="184"/>
      <c r="C16" s="184"/>
      <c r="D16" s="184"/>
      <c r="E16" s="184"/>
      <c r="F16" s="184"/>
      <c r="G16" s="184"/>
      <c r="H16" s="184"/>
      <c r="I16" s="184"/>
      <c r="J16" s="184"/>
      <c r="K16" s="184"/>
      <c r="L16" s="184"/>
      <c r="M16" s="184"/>
      <c r="N16" s="184"/>
      <c r="O16" s="184"/>
      <c r="P16" s="184"/>
    </row>
    <row r="17" spans="2:16" x14ac:dyDescent="0.25">
      <c r="B17" s="184"/>
      <c r="C17" s="184"/>
      <c r="D17" s="184"/>
      <c r="E17" s="184"/>
      <c r="F17" s="184"/>
      <c r="G17" s="184"/>
      <c r="H17" s="184"/>
      <c r="I17" s="184"/>
      <c r="J17" s="184"/>
      <c r="K17" s="184"/>
      <c r="L17" s="184"/>
      <c r="M17" s="184"/>
      <c r="N17" s="184"/>
      <c r="O17" s="184"/>
      <c r="P17" s="184"/>
    </row>
    <row r="18" spans="2:16" x14ac:dyDescent="0.25">
      <c r="B18" s="184"/>
      <c r="C18" s="184"/>
      <c r="D18" s="184"/>
      <c r="E18" s="184"/>
      <c r="F18" s="184"/>
      <c r="G18" s="184"/>
      <c r="H18" s="184"/>
      <c r="I18" s="184"/>
      <c r="J18" s="184"/>
      <c r="K18" s="184"/>
      <c r="L18" s="184"/>
      <c r="M18" s="184"/>
      <c r="N18" s="184"/>
      <c r="O18" s="184"/>
      <c r="P18" s="184"/>
    </row>
    <row r="19" spans="2:16" x14ac:dyDescent="0.25">
      <c r="B19" s="184"/>
      <c r="C19" s="184"/>
      <c r="D19" s="184"/>
      <c r="E19" s="184"/>
      <c r="F19" s="184"/>
      <c r="G19" s="184"/>
      <c r="H19" s="184"/>
      <c r="I19" s="184"/>
      <c r="J19" s="184"/>
      <c r="K19" s="184"/>
      <c r="L19" s="184"/>
      <c r="M19" s="184"/>
      <c r="N19" s="184"/>
      <c r="O19" s="184"/>
      <c r="P19" s="184"/>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0"/>
  <dimension ref="A1:AG14"/>
  <sheetViews>
    <sheetView workbookViewId="0">
      <selection activeCell="B4" sqref="B4"/>
    </sheetView>
  </sheetViews>
  <sheetFormatPr defaultRowHeight="15" x14ac:dyDescent="0.25"/>
  <cols>
    <col min="1" max="1" width="19.28515625" customWidth="1"/>
    <col min="2" max="2" width="4.7109375" customWidth="1"/>
    <col min="3" max="3" width="19.140625" customWidth="1"/>
    <col min="5" max="5" width="7" customWidth="1"/>
    <col min="6" max="6" width="8.85546875" customWidth="1"/>
    <col min="7" max="7" width="10.140625" customWidth="1"/>
    <col min="13" max="13" width="11.5703125" customWidth="1"/>
    <col min="14" max="14" width="15.140625" customWidth="1"/>
    <col min="15" max="15" width="13.85546875" customWidth="1"/>
    <col min="18" max="18" width="14" customWidth="1"/>
    <col min="20" max="20" width="9.140625" customWidth="1"/>
    <col min="21" max="21" width="11.140625" customWidth="1"/>
    <col min="22" max="22" width="10.42578125" customWidth="1"/>
    <col min="23" max="23" width="11.5703125" customWidth="1"/>
    <col min="24" max="24" width="11" customWidth="1"/>
    <col min="25" max="25" width="11.140625" customWidth="1"/>
    <col min="26" max="26" width="10.42578125" customWidth="1"/>
    <col min="27" max="27" width="11.5703125" customWidth="1"/>
    <col min="28" max="28" width="11" customWidth="1"/>
    <col min="29" max="29" width="11.140625" customWidth="1"/>
    <col min="30" max="30" width="10.42578125" customWidth="1"/>
    <col min="31" max="31" width="11.5703125" customWidth="1"/>
    <col min="32" max="32" width="12.7109375" customWidth="1"/>
    <col min="33" max="33" width="14" customWidth="1"/>
  </cols>
  <sheetData>
    <row r="1" spans="1:33" x14ac:dyDescent="0.25">
      <c r="A1" s="48" t="s">
        <v>616</v>
      </c>
      <c r="B1" s="58" t="s">
        <v>817</v>
      </c>
      <c r="C1" s="50" t="s">
        <v>818</v>
      </c>
      <c r="D1" s="49" t="s">
        <v>651</v>
      </c>
      <c r="E1" s="59" t="s">
        <v>819</v>
      </c>
      <c r="F1" s="49" t="s">
        <v>820</v>
      </c>
      <c r="G1" s="49" t="s">
        <v>821</v>
      </c>
      <c r="H1" s="49" t="s">
        <v>647</v>
      </c>
      <c r="I1" s="49" t="s">
        <v>822</v>
      </c>
      <c r="J1" s="49" t="s">
        <v>823</v>
      </c>
      <c r="K1" s="49" t="s">
        <v>824</v>
      </c>
      <c r="L1" s="50" t="s">
        <v>825</v>
      </c>
      <c r="M1" s="49" t="s">
        <v>672</v>
      </c>
      <c r="N1" s="48" t="s">
        <v>826</v>
      </c>
      <c r="O1" s="59" t="s">
        <v>827</v>
      </c>
      <c r="P1" s="49" t="s">
        <v>828</v>
      </c>
      <c r="Q1" s="50" t="s">
        <v>829</v>
      </c>
      <c r="R1" s="48" t="s">
        <v>830</v>
      </c>
      <c r="S1" s="50" t="s">
        <v>831</v>
      </c>
      <c r="T1" s="48" t="s">
        <v>832</v>
      </c>
      <c r="U1" s="49" t="s">
        <v>833</v>
      </c>
      <c r="V1" s="49" t="s">
        <v>834</v>
      </c>
      <c r="W1" s="50" t="s">
        <v>835</v>
      </c>
      <c r="X1" s="48" t="s">
        <v>836</v>
      </c>
      <c r="Y1" s="49" t="s">
        <v>837</v>
      </c>
      <c r="Z1" s="49" t="s">
        <v>838</v>
      </c>
      <c r="AA1" s="50" t="s">
        <v>839</v>
      </c>
      <c r="AB1" s="48" t="s">
        <v>840</v>
      </c>
      <c r="AC1" s="49" t="s">
        <v>841</v>
      </c>
      <c r="AD1" s="49" t="s">
        <v>842</v>
      </c>
      <c r="AE1" s="50" t="s">
        <v>843</v>
      </c>
      <c r="AF1" s="48" t="s">
        <v>844</v>
      </c>
      <c r="AG1" s="50" t="s">
        <v>845</v>
      </c>
    </row>
    <row r="2" spans="1:33" x14ac:dyDescent="0.25">
      <c r="A2" s="61"/>
      <c r="B2" s="61"/>
      <c r="C2" s="63"/>
      <c r="D2" s="62"/>
      <c r="E2" s="62" t="s">
        <v>0</v>
      </c>
      <c r="F2" s="62" t="s">
        <v>0</v>
      </c>
      <c r="G2" s="62" t="s">
        <v>0</v>
      </c>
      <c r="H2" s="62" t="s">
        <v>0</v>
      </c>
      <c r="I2" s="62" t="s">
        <v>0</v>
      </c>
      <c r="J2" s="62" t="s">
        <v>0</v>
      </c>
      <c r="K2" s="62" t="s">
        <v>0</v>
      </c>
      <c r="L2" s="63" t="s">
        <v>0</v>
      </c>
      <c r="M2" s="63" t="s">
        <v>0</v>
      </c>
      <c r="N2" s="61"/>
      <c r="O2" s="62"/>
      <c r="P2" s="62" t="s">
        <v>0</v>
      </c>
      <c r="Q2" s="63" t="s">
        <v>0</v>
      </c>
      <c r="R2" s="61" t="s">
        <v>595</v>
      </c>
      <c r="S2" s="63" t="s">
        <v>595</v>
      </c>
      <c r="T2" s="61"/>
      <c r="U2" s="62" t="s">
        <v>0</v>
      </c>
      <c r="V2" s="62" t="s">
        <v>0</v>
      </c>
      <c r="W2" s="63" t="s">
        <v>0</v>
      </c>
      <c r="X2" s="61"/>
      <c r="Y2" s="62" t="s">
        <v>0</v>
      </c>
      <c r="Z2" s="62" t="s">
        <v>0</v>
      </c>
      <c r="AA2" s="63" t="s">
        <v>0</v>
      </c>
      <c r="AB2" s="61"/>
      <c r="AC2" s="62" t="s">
        <v>0</v>
      </c>
      <c r="AD2" s="62" t="s">
        <v>0</v>
      </c>
      <c r="AE2" s="63" t="s">
        <v>0</v>
      </c>
      <c r="AF2" s="61"/>
      <c r="AG2" s="63" t="s">
        <v>0</v>
      </c>
    </row>
    <row r="3" spans="1:33" x14ac:dyDescent="0.25">
      <c r="A3" s="176" t="s">
        <v>776</v>
      </c>
      <c r="B3" s="177">
        <v>0</v>
      </c>
      <c r="C3" s="178" t="s">
        <v>846</v>
      </c>
      <c r="D3" s="70">
        <v>10</v>
      </c>
      <c r="E3" s="70">
        <v>250</v>
      </c>
      <c r="F3" s="70">
        <v>175</v>
      </c>
      <c r="G3" s="70">
        <v>180</v>
      </c>
      <c r="H3" s="70">
        <v>1000</v>
      </c>
      <c r="I3" s="70">
        <v>1000</v>
      </c>
      <c r="J3" s="70">
        <v>1000</v>
      </c>
      <c r="K3" s="70">
        <v>200</v>
      </c>
      <c r="L3" s="71">
        <v>200</v>
      </c>
      <c r="M3" s="77">
        <v>2400</v>
      </c>
      <c r="N3" s="176" t="s">
        <v>847</v>
      </c>
      <c r="O3" s="153" t="s">
        <v>847</v>
      </c>
      <c r="P3" s="70">
        <v>100</v>
      </c>
      <c r="Q3" s="71">
        <v>100</v>
      </c>
      <c r="R3" s="69">
        <v>1.2</v>
      </c>
      <c r="S3" s="71">
        <v>3</v>
      </c>
      <c r="T3" s="69">
        <v>6</v>
      </c>
      <c r="U3" s="70">
        <v>12</v>
      </c>
      <c r="V3" s="70">
        <v>300</v>
      </c>
      <c r="W3" s="71">
        <v>12</v>
      </c>
      <c r="X3" s="69">
        <v>6</v>
      </c>
      <c r="Y3" s="70">
        <v>10</v>
      </c>
      <c r="Z3" s="70">
        <v>300</v>
      </c>
      <c r="AA3" s="71">
        <v>10</v>
      </c>
      <c r="AB3" s="69">
        <v>6</v>
      </c>
      <c r="AC3" s="70">
        <v>10</v>
      </c>
      <c r="AD3" s="70">
        <v>300</v>
      </c>
      <c r="AE3" s="71">
        <v>10</v>
      </c>
      <c r="AF3" s="123">
        <v>6</v>
      </c>
      <c r="AG3" s="124">
        <v>12</v>
      </c>
    </row>
    <row r="4" spans="1:33" x14ac:dyDescent="0.25">
      <c r="A4" s="176"/>
      <c r="B4" s="179"/>
      <c r="C4" s="178"/>
      <c r="D4" s="70"/>
      <c r="E4" s="70"/>
      <c r="F4" s="70"/>
      <c r="G4" s="70"/>
      <c r="H4" s="70"/>
      <c r="I4" s="70"/>
      <c r="J4" s="70"/>
      <c r="K4" s="70"/>
      <c r="L4" s="71"/>
      <c r="M4" s="77"/>
      <c r="N4" s="176"/>
      <c r="O4" s="153"/>
      <c r="P4" s="70"/>
      <c r="Q4" s="71"/>
      <c r="R4" s="69"/>
      <c r="S4" s="71"/>
      <c r="T4" s="69"/>
      <c r="U4" s="70"/>
      <c r="V4" s="70"/>
      <c r="W4" s="71"/>
      <c r="X4" s="69"/>
      <c r="Y4" s="70"/>
      <c r="Z4" s="70"/>
      <c r="AA4" s="71"/>
      <c r="AB4" s="69"/>
      <c r="AC4" s="70"/>
      <c r="AD4" s="70"/>
      <c r="AE4" s="71"/>
      <c r="AF4" s="123"/>
      <c r="AG4" s="124"/>
    </row>
    <row r="5" spans="1:33" x14ac:dyDescent="0.25">
      <c r="A5" s="176"/>
      <c r="B5" s="179"/>
      <c r="C5" s="178"/>
      <c r="D5" s="70"/>
      <c r="E5" s="70"/>
      <c r="F5" s="70"/>
      <c r="G5" s="70"/>
      <c r="H5" s="70"/>
      <c r="I5" s="70"/>
      <c r="J5" s="70"/>
      <c r="K5" s="70"/>
      <c r="L5" s="71"/>
      <c r="M5" s="77"/>
      <c r="N5" s="176"/>
      <c r="O5" s="153"/>
      <c r="P5" s="70"/>
      <c r="Q5" s="71"/>
      <c r="R5" s="69"/>
      <c r="S5" s="71"/>
      <c r="T5" s="69"/>
      <c r="U5" s="70"/>
      <c r="V5" s="70"/>
      <c r="W5" s="71"/>
      <c r="X5" s="69"/>
      <c r="Y5" s="70"/>
      <c r="Z5" s="70"/>
      <c r="AA5" s="71"/>
      <c r="AB5" s="69"/>
      <c r="AC5" s="70"/>
      <c r="AD5" s="70"/>
      <c r="AE5" s="71"/>
      <c r="AF5" s="123"/>
      <c r="AG5" s="124"/>
    </row>
    <row r="6" spans="1:33" x14ac:dyDescent="0.25">
      <c r="A6" s="176"/>
      <c r="B6" s="179"/>
      <c r="C6" s="178"/>
      <c r="D6" s="70"/>
      <c r="E6" s="70"/>
      <c r="F6" s="70"/>
      <c r="G6" s="70"/>
      <c r="H6" s="70"/>
      <c r="I6" s="70"/>
      <c r="J6" s="70"/>
      <c r="K6" s="70"/>
      <c r="L6" s="71"/>
      <c r="M6" s="77"/>
      <c r="N6" s="176"/>
      <c r="O6" s="153"/>
      <c r="P6" s="70"/>
      <c r="Q6" s="71"/>
      <c r="R6" s="69"/>
      <c r="S6" s="71"/>
      <c r="T6" s="69"/>
      <c r="U6" s="70"/>
      <c r="V6" s="70"/>
      <c r="W6" s="71"/>
      <c r="X6" s="69"/>
      <c r="Y6" s="70"/>
      <c r="Z6" s="70"/>
      <c r="AA6" s="71"/>
      <c r="AB6" s="69"/>
      <c r="AC6" s="70"/>
      <c r="AD6" s="70"/>
      <c r="AE6" s="71"/>
      <c r="AF6" s="123"/>
      <c r="AG6" s="124"/>
    </row>
    <row r="7" spans="1:33" x14ac:dyDescent="0.25">
      <c r="A7" s="176"/>
      <c r="B7" s="179"/>
      <c r="C7" s="178"/>
      <c r="D7" s="70"/>
      <c r="E7" s="70"/>
      <c r="F7" s="86"/>
      <c r="G7" s="86"/>
      <c r="H7" s="86"/>
      <c r="I7" s="86"/>
      <c r="J7" s="86"/>
      <c r="K7" s="86"/>
      <c r="L7" s="162"/>
      <c r="M7" s="90"/>
      <c r="N7" s="176"/>
      <c r="O7" s="153"/>
      <c r="P7" s="86"/>
      <c r="Q7" s="162"/>
      <c r="R7" s="69"/>
      <c r="S7" s="71"/>
      <c r="T7" s="161"/>
      <c r="U7" s="86"/>
      <c r="V7" s="86"/>
      <c r="W7" s="162"/>
      <c r="X7" s="161"/>
      <c r="Y7" s="86"/>
      <c r="Z7" s="86"/>
      <c r="AA7" s="162"/>
      <c r="AB7" s="161"/>
      <c r="AC7" s="86"/>
      <c r="AD7" s="86"/>
      <c r="AE7" s="162"/>
      <c r="AF7" s="132"/>
      <c r="AG7" s="133"/>
    </row>
    <row r="8" spans="1:33" x14ac:dyDescent="0.25">
      <c r="A8" s="176"/>
      <c r="B8" s="179"/>
      <c r="C8" s="178"/>
      <c r="D8" s="70"/>
      <c r="E8" s="70"/>
      <c r="F8" s="86"/>
      <c r="G8" s="86"/>
      <c r="H8" s="86"/>
      <c r="I8" s="86"/>
      <c r="J8" s="86"/>
      <c r="K8" s="86"/>
      <c r="L8" s="162"/>
      <c r="M8" s="90"/>
      <c r="N8" s="176"/>
      <c r="O8" s="153"/>
      <c r="P8" s="86"/>
      <c r="Q8" s="162"/>
      <c r="R8" s="69"/>
      <c r="S8" s="71"/>
      <c r="T8" s="161"/>
      <c r="U8" s="86"/>
      <c r="V8" s="86"/>
      <c r="W8" s="162"/>
      <c r="X8" s="161"/>
      <c r="Y8" s="86"/>
      <c r="Z8" s="86"/>
      <c r="AA8" s="162"/>
      <c r="AB8" s="161"/>
      <c r="AC8" s="86"/>
      <c r="AD8" s="86"/>
      <c r="AE8" s="162"/>
      <c r="AF8" s="132"/>
      <c r="AG8" s="133"/>
    </row>
    <row r="9" spans="1:33" x14ac:dyDescent="0.25">
      <c r="A9" s="176"/>
      <c r="B9" s="179"/>
      <c r="C9" s="178"/>
      <c r="D9" s="70"/>
      <c r="E9" s="70"/>
      <c r="F9" s="86"/>
      <c r="G9" s="86"/>
      <c r="H9" s="86"/>
      <c r="I9" s="86"/>
      <c r="J9" s="86"/>
      <c r="K9" s="86"/>
      <c r="L9" s="162"/>
      <c r="M9" s="90"/>
      <c r="N9" s="176"/>
      <c r="O9" s="153"/>
      <c r="P9" s="86"/>
      <c r="Q9" s="162"/>
      <c r="R9" s="69"/>
      <c r="S9" s="71"/>
      <c r="T9" s="161"/>
      <c r="U9" s="86"/>
      <c r="V9" s="86"/>
      <c r="W9" s="162"/>
      <c r="X9" s="161"/>
      <c r="Y9" s="86"/>
      <c r="Z9" s="86"/>
      <c r="AA9" s="162"/>
      <c r="AB9" s="161"/>
      <c r="AC9" s="86"/>
      <c r="AD9" s="86"/>
      <c r="AE9" s="162"/>
      <c r="AF9" s="132"/>
      <c r="AG9" s="133"/>
    </row>
    <row r="10" spans="1:33" x14ac:dyDescent="0.25">
      <c r="A10" s="176"/>
      <c r="B10" s="179"/>
      <c r="C10" s="178"/>
      <c r="D10" s="70"/>
      <c r="E10" s="86"/>
      <c r="F10" s="86"/>
      <c r="G10" s="86"/>
      <c r="H10" s="86"/>
      <c r="I10" s="86"/>
      <c r="J10" s="86"/>
      <c r="K10" s="86"/>
      <c r="L10" s="162"/>
      <c r="M10" s="90"/>
      <c r="N10" s="176"/>
      <c r="O10" s="180"/>
      <c r="P10" s="86"/>
      <c r="Q10" s="162"/>
      <c r="R10" s="69"/>
      <c r="S10" s="162"/>
      <c r="T10" s="161"/>
      <c r="U10" s="86"/>
      <c r="V10" s="86"/>
      <c r="W10" s="162"/>
      <c r="X10" s="161"/>
      <c r="Y10" s="86"/>
      <c r="Z10" s="86"/>
      <c r="AA10" s="162"/>
      <c r="AB10" s="161"/>
      <c r="AC10" s="86"/>
      <c r="AD10" s="86"/>
      <c r="AE10" s="162"/>
      <c r="AF10" s="132"/>
      <c r="AG10" s="133"/>
    </row>
    <row r="11" spans="1:33" x14ac:dyDescent="0.25">
      <c r="A11" s="167" t="s">
        <v>694</v>
      </c>
      <c r="B11" s="167" t="s">
        <v>848</v>
      </c>
      <c r="C11" s="99"/>
      <c r="D11" s="181" t="s">
        <v>693</v>
      </c>
      <c r="E11" s="181"/>
      <c r="F11" s="181"/>
      <c r="G11" s="181"/>
      <c r="H11" s="181"/>
      <c r="I11" s="181"/>
      <c r="J11" s="181"/>
      <c r="K11" s="181"/>
      <c r="L11" s="182"/>
      <c r="M11" s="98" t="s">
        <v>849</v>
      </c>
      <c r="N11" s="183" t="s">
        <v>850</v>
      </c>
      <c r="O11" s="181"/>
      <c r="P11" s="181"/>
      <c r="Q11" s="182"/>
      <c r="R11" s="167" t="s">
        <v>851</v>
      </c>
      <c r="S11" s="106"/>
      <c r="T11" s="167" t="s">
        <v>852</v>
      </c>
      <c r="U11" s="98"/>
      <c r="V11" s="98"/>
      <c r="W11" s="99"/>
      <c r="X11" s="183" t="s">
        <v>853</v>
      </c>
      <c r="Y11" s="181"/>
      <c r="Z11" s="181"/>
      <c r="AA11" s="182"/>
      <c r="AB11" s="183" t="s">
        <v>854</v>
      </c>
      <c r="AC11" s="181"/>
      <c r="AD11" s="181"/>
      <c r="AE11" s="182"/>
      <c r="AF11" s="183" t="s">
        <v>855</v>
      </c>
      <c r="AG11" s="182"/>
    </row>
    <row r="12" spans="1:33" x14ac:dyDescent="0.25">
      <c r="D12" s="184"/>
      <c r="E12" s="184"/>
      <c r="F12" s="184"/>
      <c r="G12" s="184"/>
      <c r="H12" s="184"/>
      <c r="I12" s="184"/>
      <c r="J12" s="184"/>
      <c r="K12" s="184"/>
      <c r="L12" s="184"/>
      <c r="M12" s="184"/>
    </row>
    <row r="13" spans="1:33" x14ac:dyDescent="0.25">
      <c r="D13" s="184"/>
      <c r="E13" s="184"/>
      <c r="F13" s="184"/>
      <c r="G13" s="184"/>
      <c r="H13" s="184"/>
      <c r="I13" s="184"/>
      <c r="J13" s="184"/>
      <c r="K13" s="184"/>
      <c r="L13" s="184"/>
      <c r="M13" s="184"/>
    </row>
    <row r="14" spans="1:33" x14ac:dyDescent="0.25">
      <c r="D14" s="184"/>
      <c r="E14" s="184"/>
      <c r="F14" s="184"/>
      <c r="G14" s="184"/>
      <c r="H14" s="184"/>
      <c r="I14" s="184"/>
      <c r="J14" s="184"/>
      <c r="K14" s="184"/>
      <c r="L14" s="184"/>
      <c r="M14" s="184"/>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61"/>
  <dimension ref="A1:V19"/>
  <sheetViews>
    <sheetView workbookViewId="0">
      <selection activeCell="A3" sqref="A3:XFD3"/>
    </sheetView>
  </sheetViews>
  <sheetFormatPr defaultRowHeight="15" x14ac:dyDescent="0.25"/>
  <cols>
    <col min="1" max="1" width="9.5703125" customWidth="1"/>
    <col min="7" max="7" width="18.42578125" customWidth="1"/>
    <col min="8" max="8" width="20.7109375" customWidth="1"/>
    <col min="9" max="9" width="17.7109375" customWidth="1"/>
    <col min="10" max="10" width="20.7109375" customWidth="1"/>
    <col min="11" max="11" width="18.42578125" customWidth="1"/>
    <col min="12" max="12" width="20.7109375" customWidth="1"/>
    <col min="13" max="13" width="17.7109375" customWidth="1"/>
    <col min="14" max="14" width="20.7109375" customWidth="1"/>
    <col min="15" max="15" width="18.42578125" customWidth="1"/>
    <col min="16" max="16" width="20.7109375" customWidth="1"/>
    <col min="17" max="17" width="17.7109375" customWidth="1"/>
    <col min="18" max="18" width="20.7109375" customWidth="1"/>
    <col min="19" max="19" width="21.7109375" customWidth="1"/>
    <col min="20" max="20" width="25.42578125" customWidth="1"/>
    <col min="21" max="21" width="20.7109375" customWidth="1"/>
    <col min="22" max="22" width="25" customWidth="1"/>
  </cols>
  <sheetData>
    <row r="1" spans="1:22" x14ac:dyDescent="0.25">
      <c r="A1" s="57" t="s">
        <v>856</v>
      </c>
      <c r="B1" s="48" t="s">
        <v>857</v>
      </c>
      <c r="C1" s="49" t="s">
        <v>858</v>
      </c>
      <c r="D1" s="49" t="s">
        <v>859</v>
      </c>
      <c r="E1" s="49" t="s">
        <v>860</v>
      </c>
      <c r="F1" s="50" t="s">
        <v>861</v>
      </c>
      <c r="G1" s="48" t="s">
        <v>862</v>
      </c>
      <c r="H1" s="49" t="s">
        <v>863</v>
      </c>
      <c r="I1" s="49" t="s">
        <v>864</v>
      </c>
      <c r="J1" s="49" t="s">
        <v>865</v>
      </c>
      <c r="K1" s="48" t="s">
        <v>866</v>
      </c>
      <c r="L1" s="49" t="s">
        <v>867</v>
      </c>
      <c r="M1" s="49" t="s">
        <v>868</v>
      </c>
      <c r="N1" s="50" t="s">
        <v>869</v>
      </c>
      <c r="O1" s="48" t="s">
        <v>870</v>
      </c>
      <c r="P1" s="49" t="s">
        <v>871</v>
      </c>
      <c r="Q1" s="49" t="s">
        <v>872</v>
      </c>
      <c r="R1" s="49" t="s">
        <v>873</v>
      </c>
      <c r="S1" s="48" t="s">
        <v>874</v>
      </c>
      <c r="T1" s="49" t="s">
        <v>875</v>
      </c>
      <c r="U1" s="49" t="s">
        <v>876</v>
      </c>
      <c r="V1" s="50" t="s">
        <v>877</v>
      </c>
    </row>
    <row r="2" spans="1:22" x14ac:dyDescent="0.25">
      <c r="A2" s="62"/>
      <c r="B2" s="61" t="s">
        <v>0</v>
      </c>
      <c r="C2" s="62" t="s">
        <v>566</v>
      </c>
      <c r="D2" s="62" t="s">
        <v>90</v>
      </c>
      <c r="E2" s="62" t="s">
        <v>90</v>
      </c>
      <c r="F2" s="63" t="s">
        <v>90</v>
      </c>
      <c r="G2" s="61" t="s">
        <v>171</v>
      </c>
      <c r="H2" s="62" t="s">
        <v>171</v>
      </c>
      <c r="I2" s="62" t="s">
        <v>171</v>
      </c>
      <c r="J2" s="62" t="s">
        <v>171</v>
      </c>
      <c r="K2" s="61" t="s">
        <v>171</v>
      </c>
      <c r="L2" s="62" t="s">
        <v>171</v>
      </c>
      <c r="M2" s="62" t="s">
        <v>171</v>
      </c>
      <c r="N2" s="62" t="s">
        <v>171</v>
      </c>
      <c r="O2" s="61" t="s">
        <v>171</v>
      </c>
      <c r="P2" s="62" t="s">
        <v>171</v>
      </c>
      <c r="Q2" s="62" t="s">
        <v>171</v>
      </c>
      <c r="R2" s="62" t="s">
        <v>171</v>
      </c>
      <c r="S2" s="61" t="s">
        <v>171</v>
      </c>
      <c r="T2" s="62" t="s">
        <v>171</v>
      </c>
      <c r="U2" s="62" t="s">
        <v>171</v>
      </c>
      <c r="V2" s="63" t="s">
        <v>171</v>
      </c>
    </row>
    <row r="3" spans="1:22" x14ac:dyDescent="0.25">
      <c r="A3" s="120"/>
      <c r="B3" s="118"/>
      <c r="C3" s="120"/>
      <c r="D3" s="120"/>
      <c r="E3" s="120"/>
      <c r="F3" s="119"/>
      <c r="G3" s="185"/>
      <c r="H3" s="186"/>
      <c r="I3" s="186"/>
      <c r="J3" s="186"/>
      <c r="K3" s="185"/>
      <c r="L3" s="186"/>
      <c r="M3" s="186"/>
      <c r="N3" s="187"/>
      <c r="O3" s="185"/>
      <c r="P3" s="186"/>
      <c r="Q3" s="186"/>
      <c r="R3" s="186"/>
      <c r="S3" s="185"/>
      <c r="T3" s="186"/>
      <c r="U3" s="186"/>
      <c r="V3" s="187"/>
    </row>
    <row r="4" spans="1:22" x14ac:dyDescent="0.25">
      <c r="A4" s="120"/>
      <c r="B4" s="118"/>
      <c r="C4" s="120"/>
      <c r="D4" s="120"/>
      <c r="E4" s="120"/>
      <c r="F4" s="119"/>
      <c r="G4" s="185"/>
      <c r="H4" s="186"/>
      <c r="I4" s="186"/>
      <c r="J4" s="186"/>
      <c r="K4" s="185"/>
      <c r="L4" s="186"/>
      <c r="M4" s="186"/>
      <c r="N4" s="187"/>
      <c r="O4" s="185"/>
      <c r="P4" s="186"/>
      <c r="Q4" s="186"/>
      <c r="R4" s="186"/>
      <c r="S4" s="185"/>
      <c r="T4" s="186"/>
      <c r="U4" s="186"/>
      <c r="V4" s="187"/>
    </row>
    <row r="5" spans="1:22" x14ac:dyDescent="0.25">
      <c r="A5" s="120"/>
      <c r="B5" s="118"/>
      <c r="C5" s="120"/>
      <c r="D5" s="120"/>
      <c r="E5" s="120"/>
      <c r="F5" s="119"/>
      <c r="G5" s="185"/>
      <c r="H5" s="186"/>
      <c r="I5" s="186"/>
      <c r="J5" s="186"/>
      <c r="K5" s="185"/>
      <c r="L5" s="186"/>
      <c r="M5" s="186"/>
      <c r="N5" s="187"/>
      <c r="O5" s="185"/>
      <c r="P5" s="186"/>
      <c r="Q5" s="186"/>
      <c r="R5" s="186"/>
      <c r="S5" s="185"/>
      <c r="T5" s="186"/>
      <c r="U5" s="186"/>
      <c r="V5" s="187"/>
    </row>
    <row r="6" spans="1:22" x14ac:dyDescent="0.25">
      <c r="A6" s="120"/>
      <c r="B6" s="118"/>
      <c r="C6" s="120"/>
      <c r="D6" s="120"/>
      <c r="E6" s="120"/>
      <c r="F6" s="119"/>
      <c r="G6" s="185"/>
      <c r="H6" s="186"/>
      <c r="I6" s="186"/>
      <c r="J6" s="186"/>
      <c r="K6" s="185"/>
      <c r="L6" s="186"/>
      <c r="M6" s="186"/>
      <c r="N6" s="187"/>
      <c r="O6" s="185"/>
      <c r="P6" s="186"/>
      <c r="Q6" s="186"/>
      <c r="R6" s="186"/>
      <c r="S6" s="185"/>
      <c r="T6" s="186"/>
      <c r="U6" s="186"/>
      <c r="V6" s="187"/>
    </row>
    <row r="7" spans="1:22" x14ac:dyDescent="0.25">
      <c r="A7" s="129"/>
      <c r="B7" s="127"/>
      <c r="C7" s="129"/>
      <c r="D7" s="129"/>
      <c r="E7" s="129"/>
      <c r="F7" s="128"/>
      <c r="G7" s="188"/>
      <c r="H7" s="189"/>
      <c r="I7" s="189"/>
      <c r="J7" s="189"/>
      <c r="K7" s="188"/>
      <c r="L7" s="189"/>
      <c r="M7" s="189"/>
      <c r="N7" s="190"/>
      <c r="O7" s="188"/>
      <c r="P7" s="189"/>
      <c r="Q7" s="189"/>
      <c r="R7" s="189"/>
      <c r="S7" s="188"/>
      <c r="T7" s="189"/>
      <c r="U7" s="189"/>
      <c r="V7" s="190"/>
    </row>
    <row r="8" spans="1:22" x14ac:dyDescent="0.25">
      <c r="A8" s="129"/>
      <c r="B8" s="127"/>
      <c r="C8" s="129"/>
      <c r="D8" s="129"/>
      <c r="E8" s="129"/>
      <c r="F8" s="128"/>
      <c r="G8" s="188"/>
      <c r="H8" s="189"/>
      <c r="I8" s="189"/>
      <c r="J8" s="189"/>
      <c r="K8" s="188"/>
      <c r="L8" s="189"/>
      <c r="M8" s="189"/>
      <c r="N8" s="190"/>
      <c r="O8" s="188"/>
      <c r="P8" s="189"/>
      <c r="Q8" s="189"/>
      <c r="R8" s="189"/>
      <c r="S8" s="188"/>
      <c r="T8" s="189"/>
      <c r="U8" s="189"/>
      <c r="V8" s="190"/>
    </row>
    <row r="9" spans="1:22" x14ac:dyDescent="0.25">
      <c r="A9" s="129"/>
      <c r="B9" s="127"/>
      <c r="C9" s="129"/>
      <c r="D9" s="129"/>
      <c r="E9" s="129"/>
      <c r="F9" s="128"/>
      <c r="G9" s="188"/>
      <c r="H9" s="189"/>
      <c r="I9" s="189"/>
      <c r="J9" s="189"/>
      <c r="K9" s="188"/>
      <c r="L9" s="189"/>
      <c r="M9" s="189"/>
      <c r="N9" s="190"/>
      <c r="O9" s="188"/>
      <c r="P9" s="189"/>
      <c r="Q9" s="189"/>
      <c r="R9" s="189"/>
      <c r="S9" s="188"/>
      <c r="T9" s="189"/>
      <c r="U9" s="189"/>
      <c r="V9" s="190"/>
    </row>
    <row r="10" spans="1:22" x14ac:dyDescent="0.25">
      <c r="A10" s="129"/>
      <c r="B10" s="127"/>
      <c r="C10" s="129"/>
      <c r="D10" s="129"/>
      <c r="E10" s="129"/>
      <c r="F10" s="128"/>
      <c r="G10" s="188"/>
      <c r="H10" s="189"/>
      <c r="I10" s="189"/>
      <c r="J10" s="189"/>
      <c r="K10" s="188"/>
      <c r="L10" s="189"/>
      <c r="M10" s="189"/>
      <c r="N10" s="190"/>
      <c r="O10" s="188"/>
      <c r="P10" s="189"/>
      <c r="Q10" s="189"/>
      <c r="R10" s="189"/>
      <c r="S10" s="188"/>
      <c r="T10" s="189"/>
      <c r="U10" s="189"/>
      <c r="V10" s="190"/>
    </row>
    <row r="11" spans="1:22" x14ac:dyDescent="0.25">
      <c r="A11" s="147"/>
      <c r="B11" s="147" t="s">
        <v>878</v>
      </c>
      <c r="C11" s="175"/>
      <c r="D11" s="175"/>
      <c r="E11" s="175"/>
      <c r="F11" s="148"/>
      <c r="G11" s="147" t="s">
        <v>852</v>
      </c>
      <c r="H11" s="150"/>
      <c r="I11" s="175"/>
      <c r="J11" s="152"/>
      <c r="K11" s="147" t="s">
        <v>853</v>
      </c>
      <c r="L11" s="150"/>
      <c r="M11" s="175"/>
      <c r="N11" s="152"/>
      <c r="O11" s="147" t="s">
        <v>854</v>
      </c>
      <c r="P11" s="150"/>
      <c r="Q11" s="175"/>
      <c r="R11" s="175"/>
      <c r="S11" s="147" t="s">
        <v>879</v>
      </c>
      <c r="T11" s="150"/>
      <c r="U11" s="175"/>
      <c r="V11" s="152"/>
    </row>
    <row r="12" spans="1:22" x14ac:dyDescent="0.25">
      <c r="B12" s="184"/>
      <c r="C12" s="184"/>
      <c r="D12" s="184"/>
      <c r="E12" s="184"/>
      <c r="F12" s="184"/>
      <c r="G12" s="184"/>
      <c r="H12" s="184"/>
      <c r="I12" s="184"/>
      <c r="J12" s="184"/>
      <c r="K12" s="184"/>
      <c r="L12" s="184"/>
      <c r="M12" s="184"/>
      <c r="N12" s="184"/>
      <c r="O12" s="184"/>
      <c r="P12" s="184"/>
      <c r="T12" s="184"/>
      <c r="U12" s="184"/>
      <c r="V12" s="184"/>
    </row>
    <row r="13" spans="1:22" x14ac:dyDescent="0.25">
      <c r="B13" s="184"/>
      <c r="C13" s="184"/>
      <c r="D13" s="184"/>
      <c r="E13" s="184"/>
      <c r="F13" s="184"/>
      <c r="G13" s="184"/>
      <c r="H13" s="184"/>
      <c r="I13" s="184"/>
      <c r="J13" s="184"/>
      <c r="K13" s="184"/>
      <c r="L13" s="184"/>
      <c r="M13" s="184"/>
      <c r="N13" s="184"/>
      <c r="O13" s="184"/>
      <c r="P13" s="184"/>
      <c r="T13" s="184"/>
      <c r="U13" s="184"/>
      <c r="V13" s="184"/>
    </row>
    <row r="14" spans="1:22" x14ac:dyDescent="0.25">
      <c r="B14" s="184"/>
      <c r="C14" s="184"/>
      <c r="D14" s="184"/>
      <c r="E14" s="184"/>
      <c r="F14" s="184"/>
      <c r="G14" s="184"/>
      <c r="H14" s="184"/>
      <c r="I14" s="184"/>
      <c r="J14" s="184"/>
      <c r="K14" s="184"/>
      <c r="L14" s="184"/>
      <c r="M14" s="184"/>
      <c r="N14" s="184"/>
      <c r="O14" s="184"/>
      <c r="P14" s="184"/>
      <c r="T14" s="184"/>
      <c r="U14" s="184"/>
      <c r="V14" s="184"/>
    </row>
    <row r="15" spans="1:22" x14ac:dyDescent="0.25">
      <c r="B15" s="184"/>
      <c r="C15" s="184"/>
      <c r="D15" s="184"/>
      <c r="E15" s="184"/>
      <c r="F15" s="184"/>
      <c r="G15" s="184"/>
      <c r="H15" s="184"/>
      <c r="I15" s="184"/>
      <c r="J15" s="184"/>
      <c r="K15" s="184"/>
      <c r="L15" s="184"/>
      <c r="M15" s="184"/>
      <c r="N15" s="184"/>
      <c r="O15" s="184"/>
      <c r="P15" s="184"/>
      <c r="T15" s="184"/>
      <c r="U15" s="184"/>
      <c r="V15" s="184"/>
    </row>
    <row r="16" spans="1:22" x14ac:dyDescent="0.25">
      <c r="B16" s="184"/>
      <c r="C16" s="184"/>
      <c r="D16" s="184"/>
      <c r="E16" s="184"/>
      <c r="F16" s="184"/>
      <c r="G16" s="184"/>
      <c r="H16" s="184"/>
      <c r="I16" s="184"/>
      <c r="J16" s="184"/>
      <c r="K16" s="184"/>
      <c r="L16" s="184"/>
      <c r="M16" s="184"/>
      <c r="N16" s="184"/>
      <c r="O16" s="184"/>
      <c r="P16" s="184"/>
      <c r="T16" s="184"/>
      <c r="U16" s="184"/>
      <c r="V16" s="184"/>
    </row>
    <row r="17" spans="2:22" x14ac:dyDescent="0.25">
      <c r="B17" s="184"/>
      <c r="C17" s="184"/>
      <c r="D17" s="184"/>
      <c r="E17" s="184"/>
      <c r="F17" s="184"/>
      <c r="G17" s="184"/>
      <c r="H17" s="184"/>
      <c r="I17" s="184"/>
      <c r="J17" s="184"/>
      <c r="K17" s="184"/>
      <c r="L17" s="184"/>
      <c r="M17" s="184"/>
      <c r="N17" s="184"/>
      <c r="O17" s="184"/>
      <c r="P17" s="184"/>
      <c r="T17" s="184"/>
      <c r="U17" s="184"/>
      <c r="V17" s="184"/>
    </row>
    <row r="18" spans="2:22" x14ac:dyDescent="0.25">
      <c r="B18" s="184"/>
      <c r="C18" s="184"/>
      <c r="D18" s="184"/>
      <c r="E18" s="184"/>
      <c r="F18" s="184"/>
      <c r="G18" s="184"/>
      <c r="H18" s="184"/>
      <c r="I18" s="184"/>
      <c r="J18" s="184"/>
      <c r="K18" s="184"/>
      <c r="L18" s="184"/>
      <c r="M18" s="184"/>
      <c r="N18" s="184"/>
      <c r="O18" s="184"/>
      <c r="P18" s="184"/>
      <c r="T18" s="184"/>
      <c r="U18" s="184"/>
      <c r="V18" s="184"/>
    </row>
    <row r="19" spans="2:22" x14ac:dyDescent="0.25">
      <c r="B19" s="184"/>
      <c r="C19" s="184"/>
      <c r="D19" s="184"/>
      <c r="E19" s="184"/>
      <c r="F19" s="184"/>
      <c r="G19" s="184"/>
      <c r="H19" s="184"/>
      <c r="I19" s="184"/>
      <c r="J19" s="184"/>
      <c r="K19" s="184"/>
      <c r="L19" s="184"/>
      <c r="M19" s="184"/>
      <c r="N19" s="184"/>
      <c r="O19" s="184"/>
      <c r="P19" s="184"/>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2"/>
  <dimension ref="A1:AC18"/>
  <sheetViews>
    <sheetView workbookViewId="0">
      <selection activeCell="H1" sqref="H1"/>
    </sheetView>
  </sheetViews>
  <sheetFormatPr defaultColWidth="9.140625" defaultRowHeight="15" x14ac:dyDescent="0.25"/>
  <cols>
    <col min="1" max="1" width="10.85546875" style="26" customWidth="1"/>
    <col min="2" max="2" width="14" style="26" customWidth="1"/>
    <col min="3" max="4" width="7.7109375" style="26" customWidth="1"/>
    <col min="5" max="7" width="8" style="26" customWidth="1"/>
    <col min="8" max="8" width="16.42578125" style="26" customWidth="1"/>
    <col min="9" max="9" width="8.28515625" style="26" customWidth="1"/>
    <col min="10" max="10" width="9.85546875" style="26" customWidth="1"/>
    <col min="11" max="11" width="10.28515625" style="26" customWidth="1"/>
    <col min="12" max="12" width="8.42578125" style="26" customWidth="1"/>
    <col min="13" max="13" width="5.28515625" style="26" customWidth="1"/>
    <col min="14" max="14" width="10.7109375" style="26" customWidth="1"/>
    <col min="15" max="15" width="5.85546875" style="26" customWidth="1"/>
    <col min="16" max="16" width="5.5703125" style="26" customWidth="1"/>
    <col min="17" max="17" width="6.85546875" style="26" customWidth="1"/>
    <col min="18" max="18" width="16.140625" style="26" customWidth="1"/>
    <col min="19" max="19" width="11.28515625" style="26" customWidth="1"/>
    <col min="20" max="20" width="12.42578125" style="26" customWidth="1"/>
    <col min="21" max="21" width="13.7109375" style="26" customWidth="1"/>
    <col min="22" max="22" width="13" style="26" customWidth="1"/>
    <col min="23" max="23" width="14" style="26" customWidth="1"/>
    <col min="24" max="24" width="12.85546875" style="26" customWidth="1"/>
    <col min="25" max="25" width="10.5703125" style="26" customWidth="1"/>
    <col min="26" max="26" width="9.85546875" style="26" customWidth="1"/>
    <col min="27" max="27" width="12.7109375" style="26" customWidth="1"/>
    <col min="28" max="28" width="11.5703125" style="26" customWidth="1"/>
    <col min="29" max="29" width="17.28515625" style="26" customWidth="1"/>
    <col min="30" max="30" width="11.140625" style="26" customWidth="1"/>
    <col min="31" max="31" width="13.85546875" style="26" customWidth="1"/>
    <col min="32" max="32" width="7.42578125" style="26" customWidth="1"/>
    <col min="33" max="33" width="8.140625" style="26" customWidth="1"/>
    <col min="34" max="34" width="10.28515625" style="26" customWidth="1"/>
    <col min="35" max="35" width="9.140625" style="26"/>
    <col min="36" max="36" width="15.28515625" style="26" customWidth="1"/>
    <col min="37" max="16384" width="9.140625" style="26"/>
  </cols>
  <sheetData>
    <row r="1" spans="1:29" x14ac:dyDescent="0.25">
      <c r="A1" s="50" t="s">
        <v>68</v>
      </c>
      <c r="B1" s="55" t="s">
        <v>754</v>
      </c>
      <c r="C1" s="48" t="s">
        <v>653</v>
      </c>
      <c r="D1" s="49" t="s">
        <v>755</v>
      </c>
      <c r="E1" s="49" t="s">
        <v>756</v>
      </c>
      <c r="F1" s="49" t="s">
        <v>757</v>
      </c>
      <c r="G1" s="50" t="s">
        <v>758</v>
      </c>
      <c r="H1" s="50" t="s">
        <v>759</v>
      </c>
      <c r="I1" s="53" t="s">
        <v>656</v>
      </c>
      <c r="J1" s="53" t="s">
        <v>760</v>
      </c>
      <c r="K1" s="54" t="s">
        <v>761</v>
      </c>
      <c r="L1" s="53" t="s">
        <v>762</v>
      </c>
      <c r="M1" s="53" t="s">
        <v>763</v>
      </c>
      <c r="N1" s="53" t="s">
        <v>764</v>
      </c>
      <c r="O1" s="52" t="s">
        <v>665</v>
      </c>
      <c r="P1" s="53" t="s">
        <v>667</v>
      </c>
      <c r="Q1" s="53" t="s">
        <v>765</v>
      </c>
      <c r="R1" s="48" t="s">
        <v>766</v>
      </c>
      <c r="S1" s="50" t="s">
        <v>767</v>
      </c>
      <c r="T1" s="53" t="s">
        <v>768</v>
      </c>
      <c r="U1" s="53" t="s">
        <v>769</v>
      </c>
      <c r="V1" s="53" t="s">
        <v>770</v>
      </c>
      <c r="W1" s="48" t="s">
        <v>771</v>
      </c>
      <c r="X1" s="50" t="s">
        <v>772</v>
      </c>
      <c r="Y1" s="53" t="s">
        <v>773</v>
      </c>
      <c r="Z1" s="53" t="s">
        <v>774</v>
      </c>
      <c r="AA1" s="53" t="s">
        <v>673</v>
      </c>
      <c r="AB1" s="53" t="s">
        <v>674</v>
      </c>
      <c r="AC1" s="116" t="s">
        <v>677</v>
      </c>
    </row>
    <row r="2" spans="1:29" x14ac:dyDescent="0.25">
      <c r="A2" s="63" t="s">
        <v>0</v>
      </c>
      <c r="B2" s="62"/>
      <c r="C2" s="61" t="s">
        <v>0</v>
      </c>
      <c r="D2" s="62" t="s">
        <v>0</v>
      </c>
      <c r="E2" s="62" t="s">
        <v>0</v>
      </c>
      <c r="F2" s="62" t="s">
        <v>0</v>
      </c>
      <c r="G2" s="63" t="s">
        <v>0</v>
      </c>
      <c r="H2" s="63"/>
      <c r="I2" s="62" t="s">
        <v>566</v>
      </c>
      <c r="J2" s="62" t="s">
        <v>775</v>
      </c>
      <c r="K2" s="64" t="s">
        <v>775</v>
      </c>
      <c r="L2" s="62" t="s">
        <v>0</v>
      </c>
      <c r="M2" s="62"/>
      <c r="N2" s="62"/>
      <c r="O2" s="65" t="s">
        <v>24</v>
      </c>
      <c r="P2" s="62" t="s">
        <v>688</v>
      </c>
      <c r="Q2" s="62"/>
      <c r="R2" s="61"/>
      <c r="S2" s="63" t="s">
        <v>0</v>
      </c>
      <c r="T2" s="62" t="s">
        <v>566</v>
      </c>
      <c r="U2" s="62" t="s">
        <v>775</v>
      </c>
      <c r="V2" s="62" t="s">
        <v>775</v>
      </c>
      <c r="W2" s="61" t="s">
        <v>567</v>
      </c>
      <c r="X2" s="63" t="s">
        <v>567</v>
      </c>
      <c r="Y2" s="62" t="s">
        <v>567</v>
      </c>
      <c r="Z2" s="62" t="s">
        <v>567</v>
      </c>
      <c r="AA2" s="62" t="s">
        <v>595</v>
      </c>
      <c r="AB2" s="62"/>
      <c r="AC2" s="68"/>
    </row>
    <row r="3" spans="1:29" x14ac:dyDescent="0.25">
      <c r="A3" s="71">
        <v>200</v>
      </c>
      <c r="B3" s="153" t="s">
        <v>689</v>
      </c>
      <c r="C3" s="69">
        <v>16</v>
      </c>
      <c r="D3" s="70">
        <v>200</v>
      </c>
      <c r="E3" s="70">
        <v>10</v>
      </c>
      <c r="F3" s="70">
        <v>250</v>
      </c>
      <c r="G3" s="71">
        <v>30</v>
      </c>
      <c r="H3" s="71">
        <v>0</v>
      </c>
      <c r="I3" s="70">
        <v>500</v>
      </c>
      <c r="J3" s="70">
        <v>20</v>
      </c>
      <c r="K3" s="74">
        <v>30</v>
      </c>
      <c r="L3" s="70">
        <v>3000</v>
      </c>
      <c r="M3" s="70">
        <v>0.7</v>
      </c>
      <c r="N3" s="70">
        <v>1</v>
      </c>
      <c r="O3" s="73">
        <v>50</v>
      </c>
      <c r="P3" s="70">
        <v>28</v>
      </c>
      <c r="Q3" s="154">
        <v>0.8</v>
      </c>
      <c r="R3" s="69">
        <v>1</v>
      </c>
      <c r="S3" s="71">
        <v>0.3</v>
      </c>
      <c r="T3" s="70">
        <v>325</v>
      </c>
      <c r="U3" s="70">
        <v>13</v>
      </c>
      <c r="V3" s="70">
        <v>19.5</v>
      </c>
      <c r="W3" s="123">
        <v>6</v>
      </c>
      <c r="X3" s="124">
        <v>2</v>
      </c>
      <c r="Y3" s="77">
        <v>3.6</v>
      </c>
      <c r="Z3" s="77">
        <v>1.2</v>
      </c>
      <c r="AA3" s="77">
        <v>2</v>
      </c>
      <c r="AB3" s="78">
        <v>1.5</v>
      </c>
      <c r="AC3" s="155">
        <v>1.25</v>
      </c>
    </row>
    <row r="4" spans="1:29" x14ac:dyDescent="0.25">
      <c r="A4" s="71">
        <v>200</v>
      </c>
      <c r="B4" s="153" t="s">
        <v>689</v>
      </c>
      <c r="C4" s="69">
        <v>16</v>
      </c>
      <c r="D4" s="70">
        <v>200</v>
      </c>
      <c r="E4" s="70">
        <v>10</v>
      </c>
      <c r="F4" s="70">
        <v>250</v>
      </c>
      <c r="G4" s="71">
        <v>30</v>
      </c>
      <c r="H4" s="71">
        <v>0</v>
      </c>
      <c r="I4" s="70">
        <v>750</v>
      </c>
      <c r="J4" s="70">
        <v>25</v>
      </c>
      <c r="K4" s="74">
        <v>25</v>
      </c>
      <c r="L4" s="70">
        <v>2620</v>
      </c>
      <c r="M4" s="70">
        <v>1</v>
      </c>
      <c r="N4" s="70">
        <v>1</v>
      </c>
      <c r="O4" s="73">
        <v>50</v>
      </c>
      <c r="P4" s="70">
        <v>28</v>
      </c>
      <c r="Q4" s="154">
        <v>0.65</v>
      </c>
      <c r="R4" s="69">
        <v>0</v>
      </c>
      <c r="S4" s="71"/>
      <c r="T4" s="70"/>
      <c r="U4" s="70"/>
      <c r="V4" s="70"/>
      <c r="W4" s="123">
        <v>6</v>
      </c>
      <c r="X4" s="124">
        <v>2</v>
      </c>
      <c r="Y4" s="77">
        <v>3.6</v>
      </c>
      <c r="Z4" s="77">
        <v>1.2</v>
      </c>
      <c r="AA4" s="77">
        <v>2</v>
      </c>
      <c r="AB4" s="78">
        <v>1.5</v>
      </c>
      <c r="AC4" s="155">
        <v>1.25</v>
      </c>
    </row>
    <row r="5" spans="1:29" x14ac:dyDescent="0.25">
      <c r="A5" s="71">
        <v>175</v>
      </c>
      <c r="B5" s="153" t="s">
        <v>690</v>
      </c>
      <c r="C5" s="69">
        <v>20</v>
      </c>
      <c r="D5" s="70">
        <v>200</v>
      </c>
      <c r="E5" s="70">
        <v>10</v>
      </c>
      <c r="F5" s="70">
        <v>200</v>
      </c>
      <c r="G5" s="71">
        <v>30</v>
      </c>
      <c r="H5" s="71">
        <v>1</v>
      </c>
      <c r="I5" s="70">
        <v>850</v>
      </c>
      <c r="J5" s="70">
        <v>75</v>
      </c>
      <c r="K5" s="74">
        <v>50</v>
      </c>
      <c r="L5" s="70">
        <v>3000</v>
      </c>
      <c r="M5" s="70">
        <v>1</v>
      </c>
      <c r="N5" s="70">
        <v>1</v>
      </c>
      <c r="O5" s="73">
        <v>50</v>
      </c>
      <c r="P5" s="70">
        <v>7</v>
      </c>
      <c r="Q5" s="154">
        <v>0.7</v>
      </c>
      <c r="R5" s="69">
        <v>1</v>
      </c>
      <c r="S5" s="71">
        <v>0.3</v>
      </c>
      <c r="T5" s="70">
        <v>500</v>
      </c>
      <c r="U5" s="70">
        <v>50</v>
      </c>
      <c r="V5" s="70">
        <v>20</v>
      </c>
      <c r="W5" s="123">
        <v>6</v>
      </c>
      <c r="X5" s="124">
        <v>2</v>
      </c>
      <c r="Y5" s="77">
        <v>3.6</v>
      </c>
      <c r="Z5" s="77">
        <v>1.2</v>
      </c>
      <c r="AA5" s="77">
        <v>2</v>
      </c>
      <c r="AB5" s="78">
        <v>1.5</v>
      </c>
      <c r="AC5" s="155">
        <v>1.25</v>
      </c>
    </row>
    <row r="6" spans="1:29" x14ac:dyDescent="0.25">
      <c r="A6" s="71">
        <v>225</v>
      </c>
      <c r="B6" s="153" t="s">
        <v>776</v>
      </c>
      <c r="C6" s="69">
        <v>20</v>
      </c>
      <c r="D6" s="70">
        <v>200</v>
      </c>
      <c r="E6" s="70">
        <v>10</v>
      </c>
      <c r="F6" s="70">
        <v>200</v>
      </c>
      <c r="G6" s="71">
        <v>25</v>
      </c>
      <c r="H6" s="71">
        <v>1</v>
      </c>
      <c r="I6" s="70">
        <v>600</v>
      </c>
      <c r="J6" s="70">
        <v>50</v>
      </c>
      <c r="K6" s="74">
        <v>50</v>
      </c>
      <c r="L6" s="70">
        <v>2850</v>
      </c>
      <c r="M6" s="70">
        <v>1</v>
      </c>
      <c r="N6" s="70">
        <v>0</v>
      </c>
      <c r="O6" s="73">
        <v>50</v>
      </c>
      <c r="P6" s="70">
        <v>28</v>
      </c>
      <c r="Q6" s="154">
        <v>0.7</v>
      </c>
      <c r="R6" s="69">
        <v>0</v>
      </c>
      <c r="S6" s="71"/>
      <c r="T6" s="70"/>
      <c r="U6" s="70"/>
      <c r="V6" s="70"/>
      <c r="W6" s="123">
        <v>6</v>
      </c>
      <c r="X6" s="124">
        <v>2</v>
      </c>
      <c r="Y6" s="77">
        <v>3.6</v>
      </c>
      <c r="Z6" s="77">
        <v>1.2</v>
      </c>
      <c r="AA6" s="77">
        <v>2</v>
      </c>
      <c r="AB6" s="78">
        <v>1.5</v>
      </c>
      <c r="AC6" s="155">
        <v>1.25</v>
      </c>
    </row>
    <row r="7" spans="1:29" x14ac:dyDescent="0.25">
      <c r="A7" s="71"/>
      <c r="B7" s="86"/>
      <c r="C7" s="156"/>
      <c r="D7" s="157"/>
      <c r="E7" s="157"/>
      <c r="F7" s="157"/>
      <c r="G7" s="158"/>
      <c r="H7" s="158"/>
      <c r="I7" s="157"/>
      <c r="J7" s="157"/>
      <c r="K7" s="159"/>
      <c r="L7" s="86"/>
      <c r="M7" s="86"/>
      <c r="N7" s="86"/>
      <c r="O7" s="85"/>
      <c r="P7" s="86"/>
      <c r="Q7" s="160"/>
      <c r="R7" s="161"/>
      <c r="S7" s="162"/>
      <c r="T7" s="157"/>
      <c r="U7" s="157"/>
      <c r="V7" s="157"/>
      <c r="W7" s="132"/>
      <c r="X7" s="133"/>
      <c r="Y7" s="90"/>
      <c r="Z7" s="90"/>
      <c r="AA7" s="90"/>
      <c r="AB7" s="91"/>
      <c r="AC7" s="163"/>
    </row>
    <row r="8" spans="1:29" x14ac:dyDescent="0.25">
      <c r="A8" s="99" t="s">
        <v>693</v>
      </c>
      <c r="B8" s="102" t="s">
        <v>694</v>
      </c>
      <c r="C8" s="164" t="s">
        <v>777</v>
      </c>
      <c r="D8" s="108"/>
      <c r="E8" s="108"/>
      <c r="F8" s="108"/>
      <c r="G8" s="165"/>
      <c r="H8" s="166" t="s">
        <v>778</v>
      </c>
      <c r="I8" s="103" t="s">
        <v>779</v>
      </c>
      <c r="J8" s="102"/>
      <c r="K8" s="100"/>
      <c r="L8" s="103" t="s">
        <v>698</v>
      </c>
      <c r="M8" s="102"/>
      <c r="N8" s="102"/>
      <c r="O8" s="167" t="s">
        <v>699</v>
      </c>
      <c r="P8" s="105"/>
      <c r="Q8" s="105"/>
      <c r="R8" s="167" t="s">
        <v>780</v>
      </c>
      <c r="S8" s="99"/>
      <c r="T8" s="103" t="s">
        <v>781</v>
      </c>
      <c r="U8" s="102"/>
      <c r="V8" s="102"/>
      <c r="W8" s="167" t="s">
        <v>782</v>
      </c>
      <c r="X8" s="106"/>
      <c r="Y8" s="98" t="s">
        <v>700</v>
      </c>
      <c r="Z8" s="105"/>
      <c r="AA8" s="105"/>
      <c r="AB8" s="105"/>
      <c r="AC8" s="168" t="s">
        <v>783</v>
      </c>
    </row>
    <row r="9" spans="1:29" x14ac:dyDescent="0.25">
      <c r="C9" s="30"/>
      <c r="I9" s="30"/>
      <c r="K9" s="30"/>
      <c r="L9" s="30"/>
      <c r="N9" s="30"/>
    </row>
    <row r="17" spans="10:10" x14ac:dyDescent="0.25">
      <c r="J17" s="114"/>
    </row>
    <row r="18" spans="10:10" x14ac:dyDescent="0.25">
      <c r="J18" s="114"/>
    </row>
  </sheetData>
  <pageMargins left="0.7" right="0.7" top="0.75" bottom="0.75" header="0.3" footer="0.3"/>
  <pageSetup paperSize="9" orientation="portrait" horizontalDpi="300" verticalDpi="30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63"/>
  <dimension ref="A1:AD8"/>
  <sheetViews>
    <sheetView topLeftCell="P1" workbookViewId="0">
      <selection activeCell="P3" sqref="P3"/>
    </sheetView>
  </sheetViews>
  <sheetFormatPr defaultRowHeight="15" x14ac:dyDescent="0.25"/>
  <cols>
    <col min="3" max="3" width="15" customWidth="1"/>
    <col min="4" max="4" width="14.5703125" customWidth="1"/>
    <col min="5" max="5" width="8.5703125" customWidth="1"/>
    <col min="6" max="6" width="12.5703125" customWidth="1"/>
    <col min="7" max="8" width="16.7109375" customWidth="1"/>
    <col min="9" max="9" width="15.5703125" customWidth="1"/>
    <col min="10" max="10" width="20.7109375" customWidth="1"/>
    <col min="11" max="11" width="21.140625" customWidth="1"/>
    <col min="12" max="13" width="16.7109375" customWidth="1"/>
    <col min="14" max="14" width="15.5703125" customWidth="1"/>
    <col min="15" max="15" width="20.7109375" customWidth="1"/>
    <col min="16" max="16" width="21.140625" customWidth="1"/>
    <col min="17" max="17" width="14.7109375" customWidth="1"/>
    <col min="18" max="18" width="16.140625" customWidth="1"/>
    <col min="19" max="19" width="14.7109375" customWidth="1"/>
    <col min="20" max="20" width="16.42578125" customWidth="1"/>
    <col min="21" max="21" width="20.42578125" customWidth="1"/>
    <col min="22" max="22" width="15.7109375" customWidth="1"/>
    <col min="23" max="23" width="23.140625" customWidth="1"/>
    <col min="24" max="24" width="20.42578125" customWidth="1"/>
    <col min="25" max="25" width="15.7109375" customWidth="1"/>
    <col min="26" max="26" width="23.140625" customWidth="1"/>
    <col min="27" max="27" width="16.42578125" customWidth="1"/>
    <col min="28" max="28" width="17.7109375" customWidth="1"/>
    <col min="29" max="29" width="16.28515625" customWidth="1"/>
    <col min="30" max="30" width="17.85546875" customWidth="1"/>
  </cols>
  <sheetData>
    <row r="1" spans="1:30" x14ac:dyDescent="0.25">
      <c r="A1" s="48" t="s">
        <v>784</v>
      </c>
      <c r="B1" s="50" t="s">
        <v>785</v>
      </c>
      <c r="C1" s="48" t="s">
        <v>720</v>
      </c>
      <c r="D1" s="50" t="s">
        <v>721</v>
      </c>
      <c r="E1" s="49" t="s">
        <v>786</v>
      </c>
      <c r="F1" s="50" t="s">
        <v>767</v>
      </c>
      <c r="G1" s="48" t="s">
        <v>787</v>
      </c>
      <c r="H1" s="62" t="s">
        <v>788</v>
      </c>
      <c r="I1" s="57" t="s">
        <v>789</v>
      </c>
      <c r="J1" s="59" t="s">
        <v>790</v>
      </c>
      <c r="K1" s="60" t="s">
        <v>791</v>
      </c>
      <c r="L1" s="48" t="s">
        <v>792</v>
      </c>
      <c r="M1" s="50" t="s">
        <v>793</v>
      </c>
      <c r="N1" s="58" t="s">
        <v>794</v>
      </c>
      <c r="O1" s="59" t="s">
        <v>795</v>
      </c>
      <c r="P1" s="60" t="s">
        <v>796</v>
      </c>
      <c r="Q1" s="59" t="s">
        <v>797</v>
      </c>
      <c r="R1" s="60" t="s">
        <v>798</v>
      </c>
      <c r="S1" s="59" t="s">
        <v>799</v>
      </c>
      <c r="T1" s="60" t="s">
        <v>800</v>
      </c>
      <c r="U1" s="48" t="s">
        <v>801</v>
      </c>
      <c r="V1" s="57" t="s">
        <v>789</v>
      </c>
      <c r="W1" s="59" t="s">
        <v>802</v>
      </c>
      <c r="X1" s="48" t="s">
        <v>803</v>
      </c>
      <c r="Y1" s="57" t="s">
        <v>794</v>
      </c>
      <c r="Z1" s="59" t="s">
        <v>804</v>
      </c>
      <c r="AA1" s="58" t="s">
        <v>805</v>
      </c>
      <c r="AB1" s="60" t="s">
        <v>806</v>
      </c>
      <c r="AC1" s="58" t="s">
        <v>807</v>
      </c>
      <c r="AD1" s="60" t="s">
        <v>808</v>
      </c>
    </row>
    <row r="2" spans="1:30" x14ac:dyDescent="0.25">
      <c r="A2" s="61"/>
      <c r="B2" s="63"/>
      <c r="C2" s="61" t="s">
        <v>775</v>
      </c>
      <c r="D2" s="63" t="s">
        <v>775</v>
      </c>
      <c r="E2" s="62" t="s">
        <v>0</v>
      </c>
      <c r="F2" s="63" t="s">
        <v>0</v>
      </c>
      <c r="G2" s="61" t="s">
        <v>90</v>
      </c>
      <c r="H2" s="62" t="s">
        <v>90</v>
      </c>
      <c r="I2" s="62" t="s">
        <v>138</v>
      </c>
      <c r="J2" s="62" t="s">
        <v>138</v>
      </c>
      <c r="K2" s="63" t="s">
        <v>138</v>
      </c>
      <c r="L2" s="61" t="s">
        <v>90</v>
      </c>
      <c r="M2" s="63" t="s">
        <v>90</v>
      </c>
      <c r="N2" s="61" t="s">
        <v>138</v>
      </c>
      <c r="O2" s="62" t="s">
        <v>138</v>
      </c>
      <c r="P2" s="63" t="s">
        <v>138</v>
      </c>
      <c r="Q2" s="62" t="s">
        <v>21</v>
      </c>
      <c r="R2" s="63" t="s">
        <v>21</v>
      </c>
      <c r="S2" s="62" t="s">
        <v>21</v>
      </c>
      <c r="T2" s="63" t="s">
        <v>21</v>
      </c>
      <c r="U2" s="61" t="s">
        <v>90</v>
      </c>
      <c r="V2" s="62" t="s">
        <v>138</v>
      </c>
      <c r="W2" s="62" t="s">
        <v>138</v>
      </c>
      <c r="X2" s="61" t="s">
        <v>90</v>
      </c>
      <c r="Y2" s="62" t="s">
        <v>138</v>
      </c>
      <c r="Z2" s="62" t="s">
        <v>138</v>
      </c>
      <c r="AA2" s="61" t="s">
        <v>21</v>
      </c>
      <c r="AB2" s="63" t="s">
        <v>21</v>
      </c>
      <c r="AC2" s="61" t="s">
        <v>21</v>
      </c>
      <c r="AD2" s="63" t="s">
        <v>21</v>
      </c>
    </row>
    <row r="3" spans="1:30" x14ac:dyDescent="0.25">
      <c r="A3" s="118"/>
      <c r="B3" s="119"/>
      <c r="C3" s="118"/>
      <c r="D3" s="119"/>
      <c r="E3" s="169"/>
      <c r="F3" s="170"/>
      <c r="G3" s="123"/>
      <c r="H3" s="77"/>
      <c r="I3" s="77"/>
      <c r="J3" s="77"/>
      <c r="K3" s="124"/>
      <c r="L3" s="123"/>
      <c r="M3" s="124"/>
      <c r="N3" s="123"/>
      <c r="O3" s="77"/>
      <c r="P3" s="124"/>
      <c r="Q3" s="77"/>
      <c r="R3" s="124"/>
      <c r="S3" s="77"/>
      <c r="T3" s="124"/>
      <c r="U3" s="123"/>
      <c r="V3" s="77"/>
      <c r="W3" s="77"/>
      <c r="X3" s="123"/>
      <c r="Y3" s="77"/>
      <c r="Z3" s="77"/>
      <c r="AA3" s="123"/>
      <c r="AB3" s="124"/>
      <c r="AC3" s="123"/>
      <c r="AD3" s="124"/>
    </row>
    <row r="4" spans="1:30" x14ac:dyDescent="0.25">
      <c r="A4" s="118"/>
      <c r="B4" s="119"/>
      <c r="C4" s="118"/>
      <c r="D4" s="119"/>
      <c r="E4" s="169"/>
      <c r="F4" s="170"/>
      <c r="G4" s="123"/>
      <c r="H4" s="77"/>
      <c r="I4" s="77"/>
      <c r="J4" s="77"/>
      <c r="K4" s="124"/>
      <c r="L4" s="123"/>
      <c r="M4" s="124"/>
      <c r="N4" s="123"/>
      <c r="O4" s="77"/>
      <c r="P4" s="124"/>
      <c r="Q4" s="77"/>
      <c r="R4" s="124"/>
      <c r="S4" s="77"/>
      <c r="T4" s="124"/>
      <c r="U4" s="123"/>
      <c r="V4" s="77"/>
      <c r="W4" s="77"/>
      <c r="X4" s="123"/>
      <c r="Y4" s="77"/>
      <c r="Z4" s="77"/>
      <c r="AA4" s="123"/>
      <c r="AB4" s="124"/>
      <c r="AC4" s="123"/>
      <c r="AD4" s="124"/>
    </row>
    <row r="5" spans="1:30" x14ac:dyDescent="0.25">
      <c r="A5" s="118"/>
      <c r="B5" s="119"/>
      <c r="C5" s="118"/>
      <c r="D5" s="119"/>
      <c r="E5" s="169"/>
      <c r="F5" s="170"/>
      <c r="G5" s="123"/>
      <c r="H5" s="77"/>
      <c r="I5" s="77"/>
      <c r="J5" s="77"/>
      <c r="K5" s="124"/>
      <c r="L5" s="123"/>
      <c r="M5" s="124"/>
      <c r="N5" s="123"/>
      <c r="O5" s="77"/>
      <c r="P5" s="124"/>
      <c r="Q5" s="77"/>
      <c r="R5" s="124"/>
      <c r="S5" s="77"/>
      <c r="T5" s="124"/>
      <c r="U5" s="123"/>
      <c r="V5" s="77"/>
      <c r="W5" s="77"/>
      <c r="X5" s="123"/>
      <c r="Y5" s="77"/>
      <c r="Z5" s="77"/>
      <c r="AA5" s="123"/>
      <c r="AB5" s="124"/>
      <c r="AC5" s="123"/>
      <c r="AD5" s="124"/>
    </row>
    <row r="6" spans="1:30" x14ac:dyDescent="0.25">
      <c r="A6" s="118"/>
      <c r="B6" s="119"/>
      <c r="C6" s="118"/>
      <c r="D6" s="119"/>
      <c r="E6" s="169"/>
      <c r="F6" s="170"/>
      <c r="G6" s="123"/>
      <c r="H6" s="77"/>
      <c r="I6" s="77"/>
      <c r="J6" s="77"/>
      <c r="K6" s="124"/>
      <c r="L6" s="123"/>
      <c r="M6" s="124"/>
      <c r="N6" s="123"/>
      <c r="O6" s="77"/>
      <c r="P6" s="124"/>
      <c r="Q6" s="77"/>
      <c r="R6" s="124"/>
      <c r="S6" s="77"/>
      <c r="T6" s="124"/>
      <c r="U6" s="123"/>
      <c r="V6" s="77"/>
      <c r="W6" s="77"/>
      <c r="X6" s="123"/>
      <c r="Y6" s="77"/>
      <c r="Z6" s="77"/>
      <c r="AA6" s="123"/>
      <c r="AB6" s="124"/>
      <c r="AC6" s="123"/>
      <c r="AD6" s="124"/>
    </row>
    <row r="7" spans="1:30" x14ac:dyDescent="0.25">
      <c r="A7" s="127"/>
      <c r="B7" s="128"/>
      <c r="C7" s="127"/>
      <c r="D7" s="128"/>
      <c r="E7" s="171"/>
      <c r="F7" s="172"/>
      <c r="G7" s="132"/>
      <c r="H7" s="90"/>
      <c r="I7" s="90"/>
      <c r="J7" s="90"/>
      <c r="K7" s="133"/>
      <c r="L7" s="132"/>
      <c r="M7" s="133"/>
      <c r="N7" s="132"/>
      <c r="O7" s="90"/>
      <c r="P7" s="133"/>
      <c r="Q7" s="90"/>
      <c r="R7" s="133"/>
      <c r="S7" s="90"/>
      <c r="T7" s="133"/>
      <c r="U7" s="132"/>
      <c r="V7" s="90"/>
      <c r="W7" s="90"/>
      <c r="X7" s="132"/>
      <c r="Y7" s="90"/>
      <c r="Z7" s="90"/>
      <c r="AA7" s="132"/>
      <c r="AB7" s="133"/>
      <c r="AC7" s="132"/>
      <c r="AD7" s="133"/>
    </row>
    <row r="8" spans="1:30" x14ac:dyDescent="0.25">
      <c r="A8" s="147" t="s">
        <v>809</v>
      </c>
      <c r="B8" s="148"/>
      <c r="C8" s="147" t="s">
        <v>810</v>
      </c>
      <c r="D8" s="148"/>
      <c r="E8" s="147" t="s">
        <v>780</v>
      </c>
      <c r="F8" s="148"/>
      <c r="G8" s="147" t="s">
        <v>811</v>
      </c>
      <c r="H8" s="173"/>
      <c r="I8" s="174"/>
      <c r="J8" s="150"/>
      <c r="K8" s="150"/>
      <c r="L8" s="147" t="s">
        <v>812</v>
      </c>
      <c r="M8" s="175"/>
      <c r="N8" s="150"/>
      <c r="O8" s="150"/>
      <c r="P8" s="150"/>
      <c r="Q8" s="151" t="s">
        <v>813</v>
      </c>
      <c r="R8" s="148"/>
      <c r="S8" s="150" t="s">
        <v>814</v>
      </c>
      <c r="T8" s="150"/>
      <c r="U8" s="147" t="s">
        <v>815</v>
      </c>
      <c r="V8" s="174"/>
      <c r="W8" s="150"/>
      <c r="X8" s="147" t="s">
        <v>816</v>
      </c>
      <c r="Y8" s="174"/>
      <c r="Z8" s="150"/>
      <c r="AA8" s="151" t="s">
        <v>813</v>
      </c>
      <c r="AB8" s="148"/>
      <c r="AC8" s="151" t="s">
        <v>814</v>
      </c>
      <c r="AD8" s="148"/>
    </row>
  </sheetData>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9"/>
  <dimension ref="A1:AQ37"/>
  <sheetViews>
    <sheetView topLeftCell="S1" workbookViewId="0">
      <selection activeCell="Z15" sqref="Z15"/>
    </sheetView>
  </sheetViews>
  <sheetFormatPr defaultColWidth="9.140625" defaultRowHeight="15" x14ac:dyDescent="0.25"/>
  <cols>
    <col min="1" max="1" width="11.5703125" style="26" customWidth="1"/>
    <col min="2" max="2" width="8.28515625" style="30" customWidth="1"/>
    <col min="3" max="3" width="6.5703125" style="26" customWidth="1"/>
    <col min="4" max="4" width="12.5703125" style="26" customWidth="1"/>
    <col min="5" max="6" width="7.7109375" style="26" customWidth="1"/>
    <col min="7" max="7" width="5.28515625" style="26" customWidth="1"/>
    <col min="8" max="9" width="7.28515625" style="26" customWidth="1"/>
    <col min="10" max="10" width="10.7109375" style="26" customWidth="1"/>
    <col min="11" max="11" width="8.42578125" style="26" customWidth="1"/>
    <col min="12" max="12" width="8.28515625" style="26" customWidth="1"/>
    <col min="13" max="14" width="9.140625" style="26"/>
    <col min="15" max="15" width="9.85546875" style="26" customWidth="1"/>
    <col min="16" max="16" width="10" style="26" customWidth="1"/>
    <col min="17" max="17" width="9.5703125" style="26" customWidth="1"/>
    <col min="18" max="18" width="10.85546875" style="26" customWidth="1"/>
    <col min="19" max="20" width="9.140625" style="26"/>
    <col min="21" max="21" width="5.85546875" style="26" customWidth="1"/>
    <col min="22" max="22" width="6.85546875" style="26" customWidth="1"/>
    <col min="23" max="23" width="5.5703125" style="26" customWidth="1"/>
    <col min="24" max="24" width="7" style="26" customWidth="1"/>
    <col min="25" max="25" width="6.85546875" style="26" customWidth="1"/>
    <col min="26" max="26" width="3.42578125" style="26" customWidth="1"/>
    <col min="27" max="27" width="10.85546875" style="26" customWidth="1"/>
    <col min="28" max="28" width="9.140625" style="26"/>
    <col min="29" max="30" width="12.85546875" style="26" customWidth="1"/>
    <col min="31" max="31" width="3.5703125" style="26" customWidth="1"/>
    <col min="32" max="32" width="9.85546875" style="26" customWidth="1"/>
    <col min="33" max="33" width="13.5703125" style="26" customWidth="1"/>
    <col min="34" max="34" width="4" style="26" customWidth="1"/>
    <col min="35" max="35" width="12.85546875" style="26" customWidth="1"/>
    <col min="36" max="36" width="13.5703125" style="26" customWidth="1"/>
    <col min="37" max="37" width="12" style="26" customWidth="1"/>
    <col min="38" max="38" width="11.140625" style="26" customWidth="1"/>
    <col min="39" max="39" width="13.85546875" style="26" customWidth="1"/>
    <col min="40" max="40" width="7.42578125" style="26" customWidth="1"/>
    <col min="41" max="41" width="8.140625" style="26" customWidth="1"/>
    <col min="42" max="42" width="10.28515625" style="26" customWidth="1"/>
    <col min="43" max="43" width="9.140625" style="26"/>
    <col min="44" max="44" width="15.28515625" style="26" customWidth="1"/>
    <col min="45" max="16384" width="9.140625" style="26"/>
  </cols>
  <sheetData>
    <row r="1" spans="1:43" x14ac:dyDescent="0.25">
      <c r="A1" s="48" t="s">
        <v>646</v>
      </c>
      <c r="B1" s="49" t="s">
        <v>68</v>
      </c>
      <c r="C1" s="50" t="s">
        <v>647</v>
      </c>
      <c r="D1" s="51" t="s">
        <v>648</v>
      </c>
      <c r="E1" s="52" t="s">
        <v>649</v>
      </c>
      <c r="F1" s="53" t="s">
        <v>650</v>
      </c>
      <c r="G1" s="53" t="s">
        <v>651</v>
      </c>
      <c r="H1" s="53" t="s">
        <v>652</v>
      </c>
      <c r="I1" s="53" t="s">
        <v>653</v>
      </c>
      <c r="J1" s="48" t="s">
        <v>654</v>
      </c>
      <c r="K1" s="50" t="s">
        <v>655</v>
      </c>
      <c r="L1" s="53" t="s">
        <v>656</v>
      </c>
      <c r="M1" s="53" t="s">
        <v>657</v>
      </c>
      <c r="N1" s="53" t="s">
        <v>658</v>
      </c>
      <c r="O1" s="53" t="s">
        <v>659</v>
      </c>
      <c r="P1" s="54" t="s">
        <v>660</v>
      </c>
      <c r="Q1" s="52" t="s">
        <v>661</v>
      </c>
      <c r="R1" s="53" t="s">
        <v>662</v>
      </c>
      <c r="S1" s="53" t="s">
        <v>663</v>
      </c>
      <c r="T1" s="53" t="s">
        <v>664</v>
      </c>
      <c r="U1" s="52" t="s">
        <v>665</v>
      </c>
      <c r="V1" s="53" t="s">
        <v>666</v>
      </c>
      <c r="W1" s="53" t="s">
        <v>667</v>
      </c>
      <c r="X1" s="53" t="s">
        <v>668</v>
      </c>
      <c r="Y1" s="54" t="s">
        <v>669</v>
      </c>
      <c r="Z1" s="55" t="s">
        <v>670</v>
      </c>
      <c r="AA1" s="52" t="s">
        <v>671</v>
      </c>
      <c r="AB1" s="53" t="s">
        <v>672</v>
      </c>
      <c r="AC1" s="53" t="s">
        <v>673</v>
      </c>
      <c r="AD1" s="53" t="s">
        <v>674</v>
      </c>
      <c r="AE1" s="56" t="s">
        <v>675</v>
      </c>
      <c r="AF1" s="49" t="s">
        <v>676</v>
      </c>
      <c r="AG1" s="50" t="s">
        <v>677</v>
      </c>
      <c r="AH1" s="57" t="s">
        <v>678</v>
      </c>
      <c r="AI1" s="58" t="s">
        <v>679</v>
      </c>
      <c r="AJ1" s="59" t="s">
        <v>680</v>
      </c>
      <c r="AK1" s="59" t="s">
        <v>681</v>
      </c>
      <c r="AL1" s="60" t="s">
        <v>682</v>
      </c>
      <c r="AM1" s="59" t="s">
        <v>683</v>
      </c>
      <c r="AN1" s="59" t="s">
        <v>684</v>
      </c>
      <c r="AO1" s="59" t="s">
        <v>685</v>
      </c>
      <c r="AP1" s="59" t="s">
        <v>686</v>
      </c>
      <c r="AQ1" s="60" t="s">
        <v>687</v>
      </c>
    </row>
    <row r="2" spans="1:43" x14ac:dyDescent="0.25">
      <c r="A2" s="61"/>
      <c r="B2" s="62" t="s">
        <v>0</v>
      </c>
      <c r="C2" s="63" t="s">
        <v>0</v>
      </c>
      <c r="D2" s="64"/>
      <c r="E2" s="65"/>
      <c r="F2" s="62"/>
      <c r="G2" s="62"/>
      <c r="H2" s="62" t="s">
        <v>0</v>
      </c>
      <c r="I2" s="62" t="s">
        <v>0</v>
      </c>
      <c r="J2" s="66"/>
      <c r="K2" s="67" t="s">
        <v>89</v>
      </c>
      <c r="L2" s="62" t="s">
        <v>21</v>
      </c>
      <c r="M2" s="62" t="s">
        <v>90</v>
      </c>
      <c r="N2" s="62" t="s">
        <v>90</v>
      </c>
      <c r="O2" s="62" t="s">
        <v>90</v>
      </c>
      <c r="P2" s="64" t="s">
        <v>90</v>
      </c>
      <c r="Q2" s="65"/>
      <c r="R2" s="62"/>
      <c r="S2" s="62" t="s">
        <v>0</v>
      </c>
      <c r="T2" s="62" t="s">
        <v>0</v>
      </c>
      <c r="U2" s="65" t="s">
        <v>24</v>
      </c>
      <c r="V2" s="62" t="s">
        <v>0</v>
      </c>
      <c r="W2" s="62" t="s">
        <v>688</v>
      </c>
      <c r="X2" s="62"/>
      <c r="Y2" s="64"/>
      <c r="Z2" s="62"/>
      <c r="AA2" s="65" t="s">
        <v>567</v>
      </c>
      <c r="AB2" s="62" t="s">
        <v>567</v>
      </c>
      <c r="AC2" s="62" t="s">
        <v>595</v>
      </c>
      <c r="AD2" s="62"/>
      <c r="AE2" s="68"/>
      <c r="AF2" s="62" t="s">
        <v>567</v>
      </c>
      <c r="AG2" s="63"/>
      <c r="AH2" s="62"/>
      <c r="AI2" s="61"/>
      <c r="AJ2" s="62"/>
      <c r="AK2" s="62"/>
      <c r="AL2" s="63" t="s">
        <v>0</v>
      </c>
      <c r="AM2" s="62" t="s">
        <v>21</v>
      </c>
      <c r="AN2" s="62" t="s">
        <v>90</v>
      </c>
      <c r="AO2" s="62" t="s">
        <v>90</v>
      </c>
      <c r="AP2" s="62" t="s">
        <v>0</v>
      </c>
      <c r="AQ2" s="63"/>
    </row>
    <row r="3" spans="1:43" x14ac:dyDescent="0.25">
      <c r="A3" s="69" t="s">
        <v>617</v>
      </c>
      <c r="B3" s="70">
        <v>400</v>
      </c>
      <c r="C3" s="71">
        <v>300</v>
      </c>
      <c r="D3" s="72" t="s">
        <v>689</v>
      </c>
      <c r="E3" s="73">
        <v>2</v>
      </c>
      <c r="F3" s="70">
        <v>3</v>
      </c>
      <c r="G3" s="70"/>
      <c r="H3" s="70">
        <v>25</v>
      </c>
      <c r="I3" s="74">
        <v>8</v>
      </c>
      <c r="J3" s="70">
        <v>0</v>
      </c>
      <c r="K3" s="70"/>
      <c r="L3" s="73">
        <v>2000</v>
      </c>
      <c r="M3" s="70">
        <v>75</v>
      </c>
      <c r="N3" s="70">
        <v>75</v>
      </c>
      <c r="O3" s="70">
        <v>50</v>
      </c>
      <c r="P3" s="74">
        <v>50</v>
      </c>
      <c r="Q3" s="73">
        <v>1</v>
      </c>
      <c r="R3" s="70">
        <v>1</v>
      </c>
      <c r="S3" s="70">
        <v>3000</v>
      </c>
      <c r="T3" s="70">
        <v>3000</v>
      </c>
      <c r="U3" s="73">
        <v>50</v>
      </c>
      <c r="V3" s="70">
        <v>1400</v>
      </c>
      <c r="W3" s="70">
        <v>28</v>
      </c>
      <c r="X3" s="70">
        <v>0.8</v>
      </c>
      <c r="Y3" s="74">
        <v>0.8</v>
      </c>
      <c r="Z3" s="75">
        <v>1</v>
      </c>
      <c r="AA3" s="76">
        <v>6</v>
      </c>
      <c r="AB3" s="77">
        <v>3.6</v>
      </c>
      <c r="AC3" s="77">
        <v>2</v>
      </c>
      <c r="AD3" s="78">
        <v>1.5</v>
      </c>
      <c r="AE3" s="79">
        <v>1</v>
      </c>
      <c r="AF3" s="77">
        <v>1.8</v>
      </c>
      <c r="AG3" s="80">
        <v>1.25</v>
      </c>
      <c r="AH3" s="81">
        <v>1</v>
      </c>
      <c r="AI3" s="82">
        <v>2</v>
      </c>
      <c r="AJ3" s="83">
        <v>3</v>
      </c>
      <c r="AK3" s="83"/>
      <c r="AL3" s="84">
        <v>25</v>
      </c>
      <c r="AM3" s="83">
        <v>1100</v>
      </c>
      <c r="AN3" s="83">
        <v>35.5</v>
      </c>
      <c r="AO3" s="83">
        <v>27</v>
      </c>
      <c r="AP3" s="83">
        <v>750</v>
      </c>
      <c r="AQ3" s="84">
        <v>1</v>
      </c>
    </row>
    <row r="4" spans="1:43" x14ac:dyDescent="0.25">
      <c r="A4" s="69" t="s">
        <v>617</v>
      </c>
      <c r="B4" s="70">
        <v>300</v>
      </c>
      <c r="C4" s="71">
        <v>300</v>
      </c>
      <c r="D4" s="72" t="s">
        <v>155</v>
      </c>
      <c r="E4" s="73">
        <v>2</v>
      </c>
      <c r="F4" s="70">
        <v>2</v>
      </c>
      <c r="G4" s="70"/>
      <c r="H4" s="70">
        <v>20</v>
      </c>
      <c r="I4" s="74">
        <v>10</v>
      </c>
      <c r="J4" s="70">
        <v>0</v>
      </c>
      <c r="K4" s="70"/>
      <c r="L4" s="73">
        <v>1200</v>
      </c>
      <c r="M4" s="70">
        <v>50</v>
      </c>
      <c r="N4" s="70">
        <v>50</v>
      </c>
      <c r="O4" s="70">
        <v>25</v>
      </c>
      <c r="P4" s="74">
        <v>25</v>
      </c>
      <c r="Q4" s="73">
        <v>1</v>
      </c>
      <c r="R4" s="70">
        <v>1</v>
      </c>
      <c r="S4" s="70">
        <v>2750</v>
      </c>
      <c r="T4" s="70">
        <v>2750</v>
      </c>
      <c r="U4" s="73">
        <v>50</v>
      </c>
      <c r="V4" s="70">
        <v>1200</v>
      </c>
      <c r="W4" s="70">
        <v>28</v>
      </c>
      <c r="X4" s="70">
        <v>0.8</v>
      </c>
      <c r="Y4" s="74">
        <v>0.8</v>
      </c>
      <c r="Z4" s="75">
        <v>1</v>
      </c>
      <c r="AA4" s="76">
        <v>6</v>
      </c>
      <c r="AB4" s="77">
        <v>3.6</v>
      </c>
      <c r="AC4" s="77">
        <v>2</v>
      </c>
      <c r="AD4" s="78">
        <v>1.5</v>
      </c>
      <c r="AE4" s="79">
        <v>1</v>
      </c>
      <c r="AF4" s="77">
        <v>1.8</v>
      </c>
      <c r="AG4" s="80">
        <v>1.25</v>
      </c>
      <c r="AH4" s="81">
        <v>0</v>
      </c>
      <c r="AI4" s="82"/>
      <c r="AJ4" s="83"/>
      <c r="AK4" s="83"/>
      <c r="AL4" s="84"/>
      <c r="AM4" s="83"/>
      <c r="AN4" s="83"/>
      <c r="AO4" s="83"/>
      <c r="AP4" s="83"/>
      <c r="AQ4" s="84"/>
    </row>
    <row r="5" spans="1:43" x14ac:dyDescent="0.25">
      <c r="A5" s="69" t="s">
        <v>617</v>
      </c>
      <c r="B5" s="70">
        <v>300</v>
      </c>
      <c r="C5" s="71">
        <v>300</v>
      </c>
      <c r="D5" s="72" t="s">
        <v>690</v>
      </c>
      <c r="E5" s="73">
        <v>2</v>
      </c>
      <c r="F5" s="70">
        <v>2</v>
      </c>
      <c r="G5" s="70"/>
      <c r="H5" s="70">
        <v>20</v>
      </c>
      <c r="I5" s="74">
        <v>10</v>
      </c>
      <c r="J5" s="70">
        <v>1</v>
      </c>
      <c r="K5" s="70" t="s">
        <v>691</v>
      </c>
      <c r="L5" s="73">
        <v>1200</v>
      </c>
      <c r="M5" s="70">
        <v>50</v>
      </c>
      <c r="N5" s="70">
        <v>50</v>
      </c>
      <c r="O5" s="70"/>
      <c r="P5" s="74"/>
      <c r="Q5" s="73">
        <v>1</v>
      </c>
      <c r="R5" s="70"/>
      <c r="S5" s="70">
        <v>2750</v>
      </c>
      <c r="T5" s="70"/>
      <c r="U5" s="73">
        <v>50</v>
      </c>
      <c r="V5" s="70">
        <v>1200</v>
      </c>
      <c r="W5" s="70">
        <v>28</v>
      </c>
      <c r="X5" s="70">
        <v>0.8</v>
      </c>
      <c r="Y5" s="74"/>
      <c r="Z5" s="75">
        <v>1</v>
      </c>
      <c r="AA5" s="76">
        <v>6</v>
      </c>
      <c r="AB5" s="77">
        <v>3.6</v>
      </c>
      <c r="AC5" s="77">
        <v>2</v>
      </c>
      <c r="AD5" s="78">
        <v>1.5</v>
      </c>
      <c r="AE5" s="79">
        <v>1</v>
      </c>
      <c r="AF5" s="77">
        <v>1.8</v>
      </c>
      <c r="AG5" s="80">
        <v>1.25</v>
      </c>
      <c r="AH5" s="81">
        <v>0</v>
      </c>
      <c r="AI5" s="82"/>
      <c r="AJ5" s="83"/>
      <c r="AK5" s="83"/>
      <c r="AL5" s="84"/>
      <c r="AM5" s="83"/>
      <c r="AN5" s="83"/>
      <c r="AO5" s="83"/>
      <c r="AP5" s="83"/>
      <c r="AQ5" s="84"/>
    </row>
    <row r="6" spans="1:43" x14ac:dyDescent="0.25">
      <c r="A6" s="69" t="s">
        <v>692</v>
      </c>
      <c r="B6" s="70">
        <v>400</v>
      </c>
      <c r="C6" s="71"/>
      <c r="D6" s="72" t="s">
        <v>689</v>
      </c>
      <c r="E6" s="73"/>
      <c r="F6" s="70"/>
      <c r="G6" s="70">
        <v>6</v>
      </c>
      <c r="H6" s="70">
        <v>25</v>
      </c>
      <c r="I6" s="74">
        <v>8</v>
      </c>
      <c r="J6" s="70">
        <v>0</v>
      </c>
      <c r="K6" s="70"/>
      <c r="L6" s="73">
        <v>2000</v>
      </c>
      <c r="M6" s="70">
        <v>75</v>
      </c>
      <c r="N6" s="70">
        <v>75</v>
      </c>
      <c r="O6" s="70">
        <v>50</v>
      </c>
      <c r="P6" s="74">
        <v>50</v>
      </c>
      <c r="Q6" s="73">
        <v>1</v>
      </c>
      <c r="R6" s="70">
        <v>1</v>
      </c>
      <c r="S6" s="70">
        <v>3000</v>
      </c>
      <c r="T6" s="70">
        <v>3000</v>
      </c>
      <c r="U6" s="73">
        <v>50</v>
      </c>
      <c r="V6" s="70">
        <v>1256</v>
      </c>
      <c r="W6" s="70">
        <v>28</v>
      </c>
      <c r="X6" s="70">
        <v>0.8</v>
      </c>
      <c r="Y6" s="74">
        <v>0.8</v>
      </c>
      <c r="Z6" s="75">
        <v>0</v>
      </c>
      <c r="AA6" s="76"/>
      <c r="AB6" s="77"/>
      <c r="AC6" s="77"/>
      <c r="AD6" s="78"/>
      <c r="AE6" s="79">
        <v>0</v>
      </c>
      <c r="AF6" s="77"/>
      <c r="AG6" s="80"/>
      <c r="AH6" s="81">
        <v>0</v>
      </c>
      <c r="AI6" s="82"/>
      <c r="AJ6" s="83"/>
      <c r="AK6" s="83"/>
      <c r="AL6" s="84"/>
      <c r="AM6" s="83"/>
      <c r="AN6" s="83"/>
      <c r="AO6" s="83"/>
      <c r="AP6" s="83"/>
      <c r="AQ6" s="84"/>
    </row>
    <row r="7" spans="1:43" x14ac:dyDescent="0.25">
      <c r="A7" s="69" t="s">
        <v>692</v>
      </c>
      <c r="B7" s="70">
        <v>500</v>
      </c>
      <c r="C7" s="71"/>
      <c r="D7" s="72" t="s">
        <v>689</v>
      </c>
      <c r="E7" s="85"/>
      <c r="F7" s="86"/>
      <c r="G7" s="86">
        <v>10</v>
      </c>
      <c r="H7" s="86">
        <v>25</v>
      </c>
      <c r="I7" s="87">
        <v>8</v>
      </c>
      <c r="J7" s="86">
        <v>0</v>
      </c>
      <c r="K7" s="86"/>
      <c r="L7" s="85">
        <v>5000</v>
      </c>
      <c r="M7" s="86">
        <v>125</v>
      </c>
      <c r="N7" s="86">
        <v>-125</v>
      </c>
      <c r="O7" s="86">
        <v>80</v>
      </c>
      <c r="P7" s="87">
        <v>-80</v>
      </c>
      <c r="Q7" s="85">
        <v>1</v>
      </c>
      <c r="R7" s="86">
        <v>1</v>
      </c>
      <c r="S7" s="86">
        <v>2750</v>
      </c>
      <c r="T7" s="86">
        <v>2900</v>
      </c>
      <c r="U7" s="85">
        <v>50</v>
      </c>
      <c r="V7" s="86">
        <v>1400</v>
      </c>
      <c r="W7" s="86">
        <v>28</v>
      </c>
      <c r="X7" s="86">
        <v>0.8</v>
      </c>
      <c r="Y7" s="87">
        <v>0.8</v>
      </c>
      <c r="Z7" s="88">
        <v>0</v>
      </c>
      <c r="AA7" s="89"/>
      <c r="AB7" s="90"/>
      <c r="AC7" s="90"/>
      <c r="AD7" s="91"/>
      <c r="AE7" s="92">
        <v>0</v>
      </c>
      <c r="AF7" s="90"/>
      <c r="AG7" s="93"/>
      <c r="AH7" s="94">
        <v>0</v>
      </c>
      <c r="AI7" s="95"/>
      <c r="AJ7" s="96"/>
      <c r="AK7" s="96"/>
      <c r="AL7" s="97"/>
      <c r="AM7" s="96"/>
      <c r="AN7" s="96"/>
      <c r="AO7" s="96"/>
      <c r="AP7" s="96"/>
      <c r="AQ7" s="97"/>
    </row>
    <row r="8" spans="1:43" x14ac:dyDescent="0.25">
      <c r="A8" s="69"/>
      <c r="B8" s="70"/>
      <c r="C8" s="71"/>
      <c r="D8" s="72"/>
      <c r="E8" s="85"/>
      <c r="F8" s="86"/>
      <c r="G8" s="86"/>
      <c r="H8" s="86"/>
      <c r="I8" s="87"/>
      <c r="J8" s="86"/>
      <c r="K8" s="86"/>
      <c r="L8" s="85"/>
      <c r="M8" s="86"/>
      <c r="N8" s="86"/>
      <c r="O8" s="86"/>
      <c r="P8" s="87"/>
      <c r="Q8" s="85"/>
      <c r="R8" s="86"/>
      <c r="S8" s="86"/>
      <c r="T8" s="86"/>
      <c r="U8" s="85"/>
      <c r="V8" s="86"/>
      <c r="W8" s="86"/>
      <c r="X8" s="86"/>
      <c r="Y8" s="87"/>
      <c r="Z8" s="88"/>
      <c r="AA8" s="89"/>
      <c r="AB8" s="90"/>
      <c r="AC8" s="90"/>
      <c r="AD8" s="91"/>
      <c r="AE8" s="92"/>
      <c r="AF8" s="90"/>
      <c r="AG8" s="93"/>
      <c r="AH8" s="94"/>
      <c r="AI8" s="95"/>
      <c r="AJ8" s="96"/>
      <c r="AK8" s="96"/>
      <c r="AL8" s="97"/>
      <c r="AM8" s="96"/>
      <c r="AN8" s="96"/>
      <c r="AO8" s="96"/>
      <c r="AP8" s="96"/>
      <c r="AQ8" s="97"/>
    </row>
    <row r="9" spans="1:43" x14ac:dyDescent="0.25">
      <c r="A9" s="98" t="s">
        <v>693</v>
      </c>
      <c r="B9" s="98"/>
      <c r="C9" s="99"/>
      <c r="D9" s="100" t="s">
        <v>694</v>
      </c>
      <c r="E9" s="101" t="s">
        <v>695</v>
      </c>
      <c r="F9" s="102"/>
      <c r="G9" s="102"/>
      <c r="H9" s="102"/>
      <c r="I9" s="100"/>
      <c r="J9" s="103" t="s">
        <v>696</v>
      </c>
      <c r="K9" s="103"/>
      <c r="L9" s="101" t="s">
        <v>697</v>
      </c>
      <c r="M9" s="102"/>
      <c r="N9" s="102"/>
      <c r="O9" s="102"/>
      <c r="P9" s="100"/>
      <c r="Q9" s="101" t="s">
        <v>698</v>
      </c>
      <c r="R9" s="102"/>
      <c r="S9" s="102"/>
      <c r="T9" s="102"/>
      <c r="U9" s="101" t="s">
        <v>699</v>
      </c>
      <c r="V9" s="102"/>
      <c r="W9" s="102"/>
      <c r="X9" s="102"/>
      <c r="Y9" s="102"/>
      <c r="Z9" s="104"/>
      <c r="AA9" s="98" t="s">
        <v>700</v>
      </c>
      <c r="AB9" s="105"/>
      <c r="AC9" s="105"/>
      <c r="AD9" s="106"/>
      <c r="AE9" s="107"/>
      <c r="AF9" s="108" t="s">
        <v>701</v>
      </c>
      <c r="AG9" s="108"/>
      <c r="AH9" s="104"/>
      <c r="AI9" s="98" t="s">
        <v>702</v>
      </c>
      <c r="AJ9" s="105"/>
      <c r="AK9" s="105"/>
      <c r="AL9" s="105"/>
      <c r="AM9" s="98" t="s">
        <v>703</v>
      </c>
      <c r="AN9" s="105"/>
      <c r="AO9" s="105"/>
      <c r="AP9" s="105"/>
      <c r="AQ9" s="106"/>
    </row>
    <row r="10" spans="1:43" x14ac:dyDescent="0.25">
      <c r="E10" s="30"/>
      <c r="H10" s="30"/>
      <c r="J10" s="30"/>
      <c r="L10" s="30"/>
      <c r="N10" s="30"/>
      <c r="P10" s="30"/>
      <c r="R10" s="30"/>
      <c r="T10" s="30"/>
      <c r="V10" s="30"/>
      <c r="X10" s="30"/>
    </row>
    <row r="21" spans="1:17" x14ac:dyDescent="0.25">
      <c r="M21" s="30"/>
    </row>
    <row r="23" spans="1:17" x14ac:dyDescent="0.25">
      <c r="Q23" s="30"/>
    </row>
    <row r="24" spans="1:17" x14ac:dyDescent="0.25">
      <c r="Q24" s="30"/>
    </row>
    <row r="25" spans="1:17" x14ac:dyDescent="0.25">
      <c r="Q25" s="30"/>
    </row>
    <row r="26" spans="1:17" x14ac:dyDescent="0.25">
      <c r="Q26" s="30"/>
    </row>
    <row r="27" spans="1:17" x14ac:dyDescent="0.25">
      <c r="Q27" s="30"/>
    </row>
    <row r="28" spans="1:17" x14ac:dyDescent="0.25">
      <c r="Q28" s="30"/>
    </row>
    <row r="29" spans="1:17" x14ac:dyDescent="0.25">
      <c r="A29" s="109" t="s">
        <v>25</v>
      </c>
      <c r="B29" s="109"/>
      <c r="C29" s="110" t="s">
        <v>704</v>
      </c>
      <c r="D29" s="109" t="s">
        <v>705</v>
      </c>
      <c r="E29" s="111"/>
      <c r="F29" s="111"/>
    </row>
    <row r="30" spans="1:17" x14ac:dyDescent="0.25">
      <c r="A30" s="112" t="s">
        <v>649</v>
      </c>
      <c r="B30" s="112"/>
      <c r="C30" s="113" t="s">
        <v>706</v>
      </c>
      <c r="D30" s="114" t="s">
        <v>707</v>
      </c>
    </row>
    <row r="31" spans="1:17" x14ac:dyDescent="0.25">
      <c r="A31" s="112" t="s">
        <v>650</v>
      </c>
      <c r="B31" s="112"/>
      <c r="C31" s="113" t="s">
        <v>706</v>
      </c>
      <c r="D31" s="114" t="s">
        <v>707</v>
      </c>
    </row>
    <row r="32" spans="1:17" x14ac:dyDescent="0.25">
      <c r="A32" s="112" t="s">
        <v>651</v>
      </c>
      <c r="B32" s="112"/>
      <c r="C32" s="113" t="s">
        <v>708</v>
      </c>
      <c r="D32" s="114" t="s">
        <v>709</v>
      </c>
    </row>
    <row r="33" spans="1:22" x14ac:dyDescent="0.25">
      <c r="A33" s="112" t="s">
        <v>653</v>
      </c>
      <c r="B33" s="112"/>
      <c r="C33" s="113"/>
      <c r="D33" s="114" t="s">
        <v>710</v>
      </c>
    </row>
    <row r="34" spans="1:22" x14ac:dyDescent="0.25">
      <c r="A34" s="112" t="s">
        <v>656</v>
      </c>
      <c r="B34" s="112"/>
      <c r="C34" s="113" t="s">
        <v>711</v>
      </c>
      <c r="D34" s="114" t="s">
        <v>712</v>
      </c>
    </row>
    <row r="35" spans="1:22" x14ac:dyDescent="0.25">
      <c r="A35" s="112" t="s">
        <v>713</v>
      </c>
      <c r="B35" s="112"/>
      <c r="C35" s="115">
        <v>1</v>
      </c>
      <c r="D35" s="114" t="s">
        <v>714</v>
      </c>
      <c r="F35" s="30"/>
    </row>
    <row r="36" spans="1:22" x14ac:dyDescent="0.25">
      <c r="V36" s="30"/>
    </row>
    <row r="37" spans="1:22" x14ac:dyDescent="0.25">
      <c r="V37" s="30"/>
    </row>
  </sheetData>
  <pageMargins left="0.7" right="0.7" top="0.75" bottom="0.75" header="0.3" footer="0.3"/>
  <pageSetup paperSize="9" orientation="portrait" horizontalDpi="300" verticalDpi="300" r:id="rId1"/>
  <legacy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0"/>
  <dimension ref="A1:AB11"/>
  <sheetViews>
    <sheetView topLeftCell="K1" workbookViewId="0">
      <selection activeCell="N33" sqref="N33"/>
    </sheetView>
  </sheetViews>
  <sheetFormatPr defaultRowHeight="15" x14ac:dyDescent="0.25"/>
  <cols>
    <col min="1" max="1" width="12.28515625" customWidth="1"/>
    <col min="2" max="2" width="14.140625" customWidth="1"/>
    <col min="3" max="3" width="12.85546875" customWidth="1"/>
    <col min="4" max="6" width="13.42578125" customWidth="1"/>
    <col min="7" max="7" width="11.28515625" customWidth="1"/>
    <col min="8" max="8" width="16" customWidth="1"/>
    <col min="9" max="9" width="9.42578125" customWidth="1"/>
    <col min="10" max="10" width="8.42578125" customWidth="1"/>
    <col min="11" max="11" width="16" customWidth="1"/>
    <col min="12" max="13" width="9.28515625" customWidth="1"/>
    <col min="14" max="14" width="11.7109375" customWidth="1"/>
    <col min="15" max="15" width="14.5703125" customWidth="1"/>
    <col min="16" max="16" width="16" customWidth="1"/>
    <col min="17" max="17" width="9.42578125" customWidth="1"/>
    <col min="18" max="18" width="8.42578125" customWidth="1"/>
    <col min="19" max="19" width="16" customWidth="1"/>
    <col min="20" max="20" width="9.28515625" customWidth="1"/>
    <col min="21" max="21" width="8.140625" customWidth="1"/>
    <col min="22" max="22" width="14" customWidth="1"/>
    <col min="23" max="23" width="16.28515625" customWidth="1"/>
    <col min="24" max="24" width="14.140625" customWidth="1"/>
    <col min="25" max="25" width="13.85546875" customWidth="1"/>
    <col min="26" max="26" width="11.7109375" customWidth="1"/>
    <col min="27" max="27" width="14.140625" customWidth="1"/>
    <col min="28" max="28" width="16.7109375" customWidth="1"/>
  </cols>
  <sheetData>
    <row r="1" spans="1:28" x14ac:dyDescent="0.25">
      <c r="A1" s="48" t="s">
        <v>715</v>
      </c>
      <c r="B1" s="50" t="s">
        <v>716</v>
      </c>
      <c r="C1" s="49" t="s">
        <v>717</v>
      </c>
      <c r="D1" s="50" t="s">
        <v>718</v>
      </c>
      <c r="E1" s="116" t="s">
        <v>719</v>
      </c>
      <c r="F1" s="49" t="s">
        <v>720</v>
      </c>
      <c r="G1" s="49" t="s">
        <v>721</v>
      </c>
      <c r="H1" s="48" t="s">
        <v>722</v>
      </c>
      <c r="I1" s="59" t="s">
        <v>723</v>
      </c>
      <c r="J1" s="59" t="s">
        <v>724</v>
      </c>
      <c r="K1" s="48" t="s">
        <v>725</v>
      </c>
      <c r="L1" s="59" t="s">
        <v>726</v>
      </c>
      <c r="M1" s="60" t="s">
        <v>727</v>
      </c>
      <c r="N1" s="59" t="s">
        <v>728</v>
      </c>
      <c r="O1" s="60" t="s">
        <v>729</v>
      </c>
      <c r="P1" s="48" t="s">
        <v>730</v>
      </c>
      <c r="Q1" s="59" t="s">
        <v>723</v>
      </c>
      <c r="R1" s="59" t="s">
        <v>731</v>
      </c>
      <c r="S1" s="48" t="s">
        <v>732</v>
      </c>
      <c r="T1" s="59" t="s">
        <v>726</v>
      </c>
      <c r="U1" s="60" t="s">
        <v>733</v>
      </c>
      <c r="V1" s="59" t="s">
        <v>734</v>
      </c>
      <c r="W1" s="59" t="s">
        <v>735</v>
      </c>
      <c r="X1" s="48" t="s">
        <v>736</v>
      </c>
      <c r="Y1" s="49" t="s">
        <v>737</v>
      </c>
      <c r="Z1" s="59" t="s">
        <v>738</v>
      </c>
      <c r="AA1" s="49" t="s">
        <v>739</v>
      </c>
      <c r="AB1" s="60" t="s">
        <v>740</v>
      </c>
    </row>
    <row r="2" spans="1:28" x14ac:dyDescent="0.25">
      <c r="A2" s="61" t="s">
        <v>90</v>
      </c>
      <c r="B2" s="63" t="s">
        <v>90</v>
      </c>
      <c r="C2" s="62" t="s">
        <v>90</v>
      </c>
      <c r="D2" s="63" t="s">
        <v>90</v>
      </c>
      <c r="E2" s="68"/>
      <c r="F2" s="62" t="s">
        <v>90</v>
      </c>
      <c r="G2" s="62" t="s">
        <v>90</v>
      </c>
      <c r="H2" s="61" t="s">
        <v>90</v>
      </c>
      <c r="I2" s="62" t="s">
        <v>138</v>
      </c>
      <c r="J2" s="62" t="s">
        <v>138</v>
      </c>
      <c r="K2" s="61" t="s">
        <v>90</v>
      </c>
      <c r="L2" s="62" t="s">
        <v>138</v>
      </c>
      <c r="M2" s="63" t="s">
        <v>138</v>
      </c>
      <c r="N2" s="62" t="s">
        <v>21</v>
      </c>
      <c r="O2" s="63" t="s">
        <v>21</v>
      </c>
      <c r="P2" s="61" t="s">
        <v>90</v>
      </c>
      <c r="Q2" s="62" t="s">
        <v>138</v>
      </c>
      <c r="R2" s="62" t="s">
        <v>138</v>
      </c>
      <c r="S2" s="61" t="s">
        <v>90</v>
      </c>
      <c r="T2" s="62" t="s">
        <v>138</v>
      </c>
      <c r="U2" s="63" t="s">
        <v>138</v>
      </c>
      <c r="V2" s="62" t="s">
        <v>21</v>
      </c>
      <c r="W2" s="62" t="s">
        <v>21</v>
      </c>
      <c r="X2" s="66" t="s">
        <v>90</v>
      </c>
      <c r="Y2" s="117" t="s">
        <v>90</v>
      </c>
      <c r="Z2" s="117"/>
      <c r="AA2" s="117" t="s">
        <v>0</v>
      </c>
      <c r="AB2" s="67"/>
    </row>
    <row r="3" spans="1:28" x14ac:dyDescent="0.25">
      <c r="A3" s="118">
        <v>119.62150001521827</v>
      </c>
      <c r="B3" s="119">
        <v>212.53005750487279</v>
      </c>
      <c r="C3" s="120">
        <v>101.36434074936146</v>
      </c>
      <c r="D3" s="119">
        <v>171.36591425485091</v>
      </c>
      <c r="E3" s="121">
        <v>0.96127559163171794</v>
      </c>
      <c r="F3" s="122">
        <v>0</v>
      </c>
      <c r="G3" s="122">
        <v>1</v>
      </c>
      <c r="H3" s="123">
        <v>6.4552858875000014</v>
      </c>
      <c r="I3" s="77">
        <v>981.7477042500002</v>
      </c>
      <c r="J3" s="77">
        <v>188.57107354444298</v>
      </c>
      <c r="K3" s="123"/>
      <c r="L3" s="77"/>
      <c r="M3" s="124"/>
      <c r="N3" s="77"/>
      <c r="O3" s="124"/>
      <c r="P3" s="123"/>
      <c r="Q3" s="77"/>
      <c r="R3" s="77"/>
      <c r="S3" s="123"/>
      <c r="T3" s="77"/>
      <c r="U3" s="124"/>
      <c r="V3" s="77"/>
      <c r="W3" s="124"/>
      <c r="X3" s="82"/>
      <c r="Y3" s="83"/>
      <c r="Z3" s="125"/>
      <c r="AA3" s="83"/>
      <c r="AB3" s="126"/>
    </row>
    <row r="4" spans="1:28" x14ac:dyDescent="0.25">
      <c r="A4" s="118">
        <v>82.804805413716849</v>
      </c>
      <c r="B4" s="119">
        <v>137.73556741883814</v>
      </c>
      <c r="C4" s="120">
        <v>57.804805413716849</v>
      </c>
      <c r="D4" s="119">
        <v>137.73556741883814</v>
      </c>
      <c r="E4" s="121">
        <v>0.87302153800512139</v>
      </c>
      <c r="F4" s="122" t="s">
        <v>741</v>
      </c>
      <c r="G4" s="122" t="s">
        <v>741</v>
      </c>
      <c r="H4" s="123">
        <v>5.1148394156250019</v>
      </c>
      <c r="I4" s="77">
        <v>628.31853072000013</v>
      </c>
      <c r="J4" s="77">
        <v>155.61756195938597</v>
      </c>
      <c r="K4" s="123"/>
      <c r="L4" s="77"/>
      <c r="M4" s="124"/>
      <c r="N4" s="77"/>
      <c r="O4" s="124"/>
      <c r="P4" s="123"/>
      <c r="Q4" s="77"/>
      <c r="R4" s="77"/>
      <c r="S4" s="123"/>
      <c r="T4" s="77"/>
      <c r="U4" s="124"/>
      <c r="V4" s="77"/>
      <c r="W4" s="124"/>
      <c r="X4" s="82"/>
      <c r="Y4" s="83"/>
      <c r="Z4" s="125"/>
      <c r="AA4" s="83"/>
      <c r="AB4" s="126"/>
    </row>
    <row r="5" spans="1:28" x14ac:dyDescent="0.25">
      <c r="A5" s="118">
        <v>84.843207368157167</v>
      </c>
      <c r="B5" s="119">
        <v>144.78208111314598</v>
      </c>
      <c r="C5" s="120" t="s">
        <v>741</v>
      </c>
      <c r="D5" s="119" t="s">
        <v>741</v>
      </c>
      <c r="E5" s="121" t="s">
        <v>741</v>
      </c>
      <c r="F5" s="122" t="s">
        <v>741</v>
      </c>
      <c r="G5" s="122" t="s">
        <v>741</v>
      </c>
      <c r="H5" s="123">
        <v>5.1148394156250019</v>
      </c>
      <c r="I5" s="77">
        <v>628.31853072000013</v>
      </c>
      <c r="J5" s="77">
        <v>166.43825129590883</v>
      </c>
      <c r="K5" s="123"/>
      <c r="L5" s="77"/>
      <c r="M5" s="124"/>
      <c r="N5" s="77"/>
      <c r="O5" s="124"/>
      <c r="P5" s="123"/>
      <c r="Q5" s="77"/>
      <c r="R5" s="77"/>
      <c r="S5" s="123"/>
      <c r="T5" s="77"/>
      <c r="U5" s="124"/>
      <c r="V5" s="77"/>
      <c r="W5" s="124"/>
      <c r="X5" s="82"/>
      <c r="Y5" s="83"/>
      <c r="Z5" s="125"/>
      <c r="AA5" s="83"/>
      <c r="AB5" s="126"/>
    </row>
    <row r="6" spans="1:28" x14ac:dyDescent="0.25">
      <c r="A6" s="118">
        <v>121.24445926986559</v>
      </c>
      <c r="B6" s="119">
        <v>168.63919639414104</v>
      </c>
      <c r="C6" s="120">
        <v>96.244459269865587</v>
      </c>
      <c r="D6" s="119">
        <v>170.29350685814035</v>
      </c>
      <c r="E6" s="121">
        <v>0</v>
      </c>
      <c r="F6" s="122">
        <v>154.80056473989657</v>
      </c>
      <c r="G6" s="122">
        <v>168.63919639414104</v>
      </c>
      <c r="H6" s="123" t="s">
        <v>741</v>
      </c>
      <c r="I6" s="77" t="s">
        <v>741</v>
      </c>
      <c r="J6" s="77" t="s">
        <v>741</v>
      </c>
      <c r="K6" s="123"/>
      <c r="L6" s="77"/>
      <c r="M6" s="124"/>
      <c r="N6" s="77"/>
      <c r="O6" s="124"/>
      <c r="P6" s="123"/>
      <c r="Q6" s="77"/>
      <c r="R6" s="77"/>
      <c r="S6" s="123"/>
      <c r="T6" s="77"/>
      <c r="U6" s="124"/>
      <c r="V6" s="77"/>
      <c r="W6" s="124"/>
      <c r="X6" s="82"/>
      <c r="Y6" s="83"/>
      <c r="Z6" s="125"/>
      <c r="AA6" s="83"/>
      <c r="AB6" s="126"/>
    </row>
    <row r="7" spans="1:28" x14ac:dyDescent="0.25">
      <c r="A7" s="127">
        <v>159.375</v>
      </c>
      <c r="B7" s="128">
        <v>175.79223890443441</v>
      </c>
      <c r="C7" s="129">
        <v>116.25</v>
      </c>
      <c r="D7" s="128">
        <v>179.44572886792088</v>
      </c>
      <c r="E7" s="130">
        <v>0</v>
      </c>
      <c r="F7" s="131">
        <v>197.2674659567563</v>
      </c>
      <c r="G7" s="131">
        <v>175.79223890443441</v>
      </c>
      <c r="H7" s="132" t="s">
        <v>741</v>
      </c>
      <c r="I7" s="90" t="s">
        <v>741</v>
      </c>
      <c r="J7" s="90" t="s">
        <v>741</v>
      </c>
      <c r="K7" s="132"/>
      <c r="L7" s="90"/>
      <c r="M7" s="133"/>
      <c r="N7" s="90"/>
      <c r="O7" s="133"/>
      <c r="P7" s="132"/>
      <c r="Q7" s="90"/>
      <c r="R7" s="90"/>
      <c r="S7" s="132"/>
      <c r="T7" s="90"/>
      <c r="U7" s="133"/>
      <c r="V7" s="90"/>
      <c r="W7" s="133"/>
      <c r="X7" s="95"/>
      <c r="Y7" s="96"/>
      <c r="Z7" s="134"/>
      <c r="AA7" s="96"/>
      <c r="AB7" s="135"/>
    </row>
    <row r="8" spans="1:28" x14ac:dyDescent="0.25">
      <c r="A8" s="127"/>
      <c r="B8" s="128"/>
      <c r="C8" s="129"/>
      <c r="D8" s="128"/>
      <c r="E8" s="130"/>
      <c r="F8" s="131"/>
      <c r="G8" s="131"/>
      <c r="H8" s="132"/>
      <c r="I8" s="90"/>
      <c r="J8" s="90"/>
      <c r="K8" s="132"/>
      <c r="L8" s="90"/>
      <c r="M8" s="133"/>
      <c r="N8" s="90"/>
      <c r="O8" s="133"/>
      <c r="P8" s="132"/>
      <c r="Q8" s="90"/>
      <c r="R8" s="90"/>
      <c r="S8" s="132"/>
      <c r="T8" s="90"/>
      <c r="U8" s="133"/>
      <c r="V8" s="90"/>
      <c r="W8" s="133"/>
      <c r="X8" s="95"/>
      <c r="Y8" s="96"/>
      <c r="Z8" s="134"/>
      <c r="AA8" s="96"/>
      <c r="AB8" s="135"/>
    </row>
    <row r="9" spans="1:28" x14ac:dyDescent="0.25">
      <c r="A9" s="127"/>
      <c r="B9" s="128"/>
      <c r="C9" s="129"/>
      <c r="D9" s="128"/>
      <c r="E9" s="130"/>
      <c r="F9" s="131"/>
      <c r="G9" s="131"/>
      <c r="H9" s="132"/>
      <c r="I9" s="90"/>
      <c r="J9" s="90"/>
      <c r="K9" s="132"/>
      <c r="L9" s="90"/>
      <c r="M9" s="133"/>
      <c r="N9" s="90"/>
      <c r="O9" s="133"/>
      <c r="P9" s="132"/>
      <c r="Q9" s="90"/>
      <c r="R9" s="90"/>
      <c r="S9" s="132"/>
      <c r="T9" s="90"/>
      <c r="U9" s="133"/>
      <c r="V9" s="90"/>
      <c r="W9" s="133"/>
      <c r="X9" s="95"/>
      <c r="Y9" s="96"/>
      <c r="Z9" s="134"/>
      <c r="AA9" s="96"/>
      <c r="AB9" s="135"/>
    </row>
    <row r="10" spans="1:28" x14ac:dyDescent="0.25">
      <c r="A10" s="136"/>
      <c r="B10" s="137"/>
      <c r="C10" s="138"/>
      <c r="D10" s="137"/>
      <c r="E10" s="139"/>
      <c r="F10" s="140"/>
      <c r="G10" s="140"/>
      <c r="H10" s="141"/>
      <c r="I10" s="142"/>
      <c r="J10" s="142"/>
      <c r="K10" s="141"/>
      <c r="L10" s="142"/>
      <c r="M10" s="143"/>
      <c r="N10" s="142"/>
      <c r="O10" s="143"/>
      <c r="P10" s="141"/>
      <c r="Q10" s="142"/>
      <c r="R10" s="142"/>
      <c r="S10" s="141"/>
      <c r="T10" s="142"/>
      <c r="U10" s="143"/>
      <c r="V10" s="142"/>
      <c r="W10" s="143"/>
      <c r="X10" s="95"/>
      <c r="Y10" s="96"/>
      <c r="Z10" s="144"/>
      <c r="AA10" s="145"/>
      <c r="AB10" s="146"/>
    </row>
    <row r="11" spans="1:28" x14ac:dyDescent="0.25">
      <c r="A11" s="147" t="s">
        <v>742</v>
      </c>
      <c r="B11" s="148"/>
      <c r="C11" s="147" t="s">
        <v>743</v>
      </c>
      <c r="D11" s="148"/>
      <c r="E11" s="149" t="s">
        <v>744</v>
      </c>
      <c r="F11" s="150" t="s">
        <v>745</v>
      </c>
      <c r="G11" s="150"/>
      <c r="H11" s="147" t="s">
        <v>746</v>
      </c>
      <c r="I11" s="150"/>
      <c r="J11" s="150"/>
      <c r="K11" s="147" t="s">
        <v>747</v>
      </c>
      <c r="L11" s="150"/>
      <c r="M11" s="148"/>
      <c r="N11" s="150" t="s">
        <v>748</v>
      </c>
      <c r="O11" s="150"/>
      <c r="P11" s="147" t="s">
        <v>749</v>
      </c>
      <c r="Q11" s="150"/>
      <c r="R11" s="150"/>
      <c r="S11" s="147" t="s">
        <v>750</v>
      </c>
      <c r="T11" s="150"/>
      <c r="U11" s="148"/>
      <c r="V11" s="151" t="s">
        <v>751</v>
      </c>
      <c r="W11" s="150"/>
      <c r="X11" s="147" t="s">
        <v>752</v>
      </c>
      <c r="Y11" s="152"/>
      <c r="Z11" s="148" t="s">
        <v>744</v>
      </c>
      <c r="AA11" s="147" t="s">
        <v>753</v>
      </c>
      <c r="AB11" s="148"/>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7"/>
  <dimension ref="A1:AH14"/>
  <sheetViews>
    <sheetView workbookViewId="0">
      <selection activeCell="X10" sqref="X10"/>
    </sheetView>
  </sheetViews>
  <sheetFormatPr defaultRowHeight="15" x14ac:dyDescent="0.25"/>
  <cols>
    <col min="1" max="1" width="14.42578125" customWidth="1"/>
    <col min="2" max="2" width="17.42578125" bestFit="1" customWidth="1"/>
    <col min="7" max="7" width="11.140625" bestFit="1" customWidth="1"/>
    <col min="8" max="8" width="14.85546875" bestFit="1" customWidth="1"/>
    <col min="9" max="9" width="11.28515625" bestFit="1" customWidth="1"/>
    <col min="10" max="10" width="15" bestFit="1" customWidth="1"/>
    <col min="11" max="11" width="14.140625" bestFit="1" customWidth="1"/>
    <col min="12" max="12" width="6.5703125" bestFit="1" customWidth="1"/>
    <col min="13" max="13" width="13.85546875" bestFit="1" customWidth="1"/>
    <col min="14" max="15" width="13.85546875" customWidth="1"/>
    <col min="16" max="16" width="11.85546875" customWidth="1"/>
    <col min="17" max="17" width="8.28515625" customWidth="1"/>
    <col min="18" max="18" width="7.85546875" customWidth="1"/>
    <col min="19" max="19" width="12.7109375" customWidth="1"/>
    <col min="20" max="20" width="13.5703125" customWidth="1"/>
    <col min="21" max="21" width="7.28515625" bestFit="1" customWidth="1"/>
    <col min="22" max="22" width="11.7109375" bestFit="1" customWidth="1"/>
    <col min="23" max="23" width="13.28515625" bestFit="1" customWidth="1"/>
    <col min="24" max="24" width="11.28515625" bestFit="1" customWidth="1"/>
    <col min="25" max="25" width="12.7109375" bestFit="1" customWidth="1"/>
    <col min="26" max="26" width="8.7109375" bestFit="1" customWidth="1"/>
    <col min="27" max="27" width="10.140625" bestFit="1" customWidth="1"/>
    <col min="28" max="28" width="8.140625" bestFit="1" customWidth="1"/>
    <col min="29" max="29" width="9" bestFit="1" customWidth="1"/>
    <col min="30" max="30" width="7" bestFit="1" customWidth="1"/>
    <col min="31" max="31" width="11.42578125" customWidth="1"/>
    <col min="32" max="32" width="10.42578125" customWidth="1"/>
    <col min="33" max="33" width="22" customWidth="1"/>
  </cols>
  <sheetData>
    <row r="1" spans="1:34" x14ac:dyDescent="0.25">
      <c r="A1" s="40" t="s">
        <v>53</v>
      </c>
      <c r="B1" s="2" t="s">
        <v>600</v>
      </c>
      <c r="C1" s="2" t="s">
        <v>66</v>
      </c>
      <c r="D1" s="2" t="s">
        <v>67</v>
      </c>
      <c r="E1" s="2" t="s">
        <v>601</v>
      </c>
      <c r="F1" s="2" t="s">
        <v>602</v>
      </c>
      <c r="G1" s="2" t="s">
        <v>139</v>
      </c>
      <c r="H1" s="2" t="s">
        <v>141</v>
      </c>
      <c r="I1" s="2" t="s">
        <v>140</v>
      </c>
      <c r="J1" s="2" t="s">
        <v>142</v>
      </c>
      <c r="K1" s="2" t="s">
        <v>144</v>
      </c>
      <c r="L1" s="2" t="s">
        <v>143</v>
      </c>
      <c r="M1" s="2" t="s">
        <v>603</v>
      </c>
      <c r="N1" s="2" t="s">
        <v>604</v>
      </c>
      <c r="O1" s="2" t="s">
        <v>605</v>
      </c>
      <c r="P1" s="2" t="s">
        <v>606</v>
      </c>
      <c r="Q1" s="2" t="s">
        <v>607</v>
      </c>
      <c r="R1" s="2" t="s">
        <v>608</v>
      </c>
      <c r="S1" s="2" t="s">
        <v>609</v>
      </c>
      <c r="T1" s="2" t="s">
        <v>610</v>
      </c>
      <c r="U1" s="2" t="s">
        <v>611</v>
      </c>
      <c r="V1" s="2" t="s">
        <v>145</v>
      </c>
      <c r="W1" s="2" t="s">
        <v>146</v>
      </c>
      <c r="X1" s="2" t="s">
        <v>147</v>
      </c>
      <c r="Y1" s="2" t="s">
        <v>148</v>
      </c>
      <c r="Z1" s="2" t="s">
        <v>149</v>
      </c>
      <c r="AA1" s="2" t="s">
        <v>150</v>
      </c>
      <c r="AB1" s="2" t="s">
        <v>151</v>
      </c>
      <c r="AC1" s="2" t="s">
        <v>612</v>
      </c>
      <c r="AD1" s="2" t="s">
        <v>613</v>
      </c>
      <c r="AE1" s="2" t="s">
        <v>614</v>
      </c>
      <c r="AF1" s="2" t="s">
        <v>615</v>
      </c>
      <c r="AG1" s="2" t="s">
        <v>616</v>
      </c>
    </row>
    <row r="2" spans="1:34" x14ac:dyDescent="0.25">
      <c r="A2" s="40" t="s">
        <v>89</v>
      </c>
      <c r="B2" s="2"/>
      <c r="C2" s="2" t="s">
        <v>0</v>
      </c>
      <c r="D2" s="2" t="s">
        <v>0</v>
      </c>
      <c r="E2" s="2" t="s">
        <v>0</v>
      </c>
      <c r="F2" s="2" t="s">
        <v>0</v>
      </c>
      <c r="G2" s="2" t="s">
        <v>90</v>
      </c>
      <c r="H2" s="2" t="s">
        <v>90</v>
      </c>
      <c r="I2" s="2" t="s">
        <v>90</v>
      </c>
      <c r="J2" s="2" t="s">
        <v>90</v>
      </c>
      <c r="K2" s="2" t="s">
        <v>21</v>
      </c>
      <c r="L2" s="2" t="s">
        <v>21</v>
      </c>
      <c r="M2" s="2" t="s">
        <v>90</v>
      </c>
      <c r="N2" s="2" t="s">
        <v>566</v>
      </c>
      <c r="O2" s="2" t="s">
        <v>566</v>
      </c>
      <c r="P2" s="2"/>
      <c r="Q2" s="2" t="s">
        <v>90</v>
      </c>
      <c r="R2" s="2" t="s">
        <v>0</v>
      </c>
      <c r="S2" s="2"/>
      <c r="T2" s="2"/>
      <c r="U2" s="2" t="s">
        <v>566</v>
      </c>
      <c r="V2" s="2"/>
      <c r="W2" s="2" t="s">
        <v>0</v>
      </c>
      <c r="X2" s="2"/>
      <c r="Y2" s="2" t="s">
        <v>0</v>
      </c>
      <c r="Z2" s="2"/>
      <c r="AA2" s="2" t="s">
        <v>0</v>
      </c>
      <c r="AB2" s="2" t="s">
        <v>0</v>
      </c>
      <c r="AC2" s="2" t="s">
        <v>0</v>
      </c>
      <c r="AD2" s="2" t="s">
        <v>0</v>
      </c>
      <c r="AE2" s="2" t="s">
        <v>0</v>
      </c>
      <c r="AF2" s="2" t="s">
        <v>0</v>
      </c>
      <c r="AG2" s="2"/>
    </row>
    <row r="3" spans="1:34" x14ac:dyDescent="0.25">
      <c r="A3" s="41" t="s">
        <v>92</v>
      </c>
      <c r="B3" s="41" t="s">
        <v>617</v>
      </c>
      <c r="C3" s="41">
        <v>300</v>
      </c>
      <c r="D3" s="41">
        <v>600</v>
      </c>
      <c r="E3" s="41"/>
      <c r="F3" s="41"/>
      <c r="G3" s="41">
        <v>150</v>
      </c>
      <c r="H3" s="41">
        <v>110</v>
      </c>
      <c r="I3" s="41">
        <v>50</v>
      </c>
      <c r="J3" s="41">
        <v>40</v>
      </c>
      <c r="K3" s="41">
        <v>100</v>
      </c>
      <c r="L3" s="41">
        <v>100</v>
      </c>
      <c r="M3" s="41">
        <v>0</v>
      </c>
      <c r="N3" s="41"/>
      <c r="O3" s="41"/>
      <c r="P3" s="41"/>
      <c r="Q3" s="41"/>
      <c r="R3" s="41"/>
      <c r="S3" s="41"/>
      <c r="T3" s="41"/>
      <c r="U3" s="41"/>
      <c r="V3" s="42">
        <v>3</v>
      </c>
      <c r="W3" s="42">
        <v>20</v>
      </c>
      <c r="X3" s="42">
        <v>2</v>
      </c>
      <c r="Y3" s="42">
        <v>20</v>
      </c>
      <c r="Z3" s="42">
        <v>2</v>
      </c>
      <c r="AA3" s="42">
        <v>8</v>
      </c>
      <c r="AB3" s="42">
        <v>250</v>
      </c>
      <c r="AC3" s="42"/>
      <c r="AD3" s="42"/>
      <c r="AE3" s="42"/>
      <c r="AF3" s="42"/>
      <c r="AG3" s="14" t="s">
        <v>153</v>
      </c>
    </row>
    <row r="4" spans="1:34" x14ac:dyDescent="0.25">
      <c r="A4" s="41" t="s">
        <v>92</v>
      </c>
      <c r="B4" s="41" t="s">
        <v>617</v>
      </c>
      <c r="C4" s="41">
        <v>300</v>
      </c>
      <c r="D4" s="41">
        <v>500</v>
      </c>
      <c r="E4" s="41"/>
      <c r="F4" s="41"/>
      <c r="G4" s="41">
        <v>100</v>
      </c>
      <c r="H4" s="41">
        <v>80</v>
      </c>
      <c r="I4" s="41">
        <v>0</v>
      </c>
      <c r="J4" s="41">
        <v>0</v>
      </c>
      <c r="K4" s="41">
        <v>150</v>
      </c>
      <c r="L4" s="41">
        <v>150</v>
      </c>
      <c r="M4" s="41">
        <v>10</v>
      </c>
      <c r="N4" s="41"/>
      <c r="O4" s="41"/>
      <c r="P4" s="41"/>
      <c r="Q4" s="41"/>
      <c r="R4" s="41"/>
      <c r="S4" s="41"/>
      <c r="T4" s="41"/>
      <c r="U4" s="41"/>
      <c r="V4" s="42">
        <v>3</v>
      </c>
      <c r="W4" s="42">
        <v>20</v>
      </c>
      <c r="X4" s="42">
        <v>3</v>
      </c>
      <c r="Y4" s="42">
        <v>16</v>
      </c>
      <c r="Z4" s="42">
        <v>2</v>
      </c>
      <c r="AA4" s="42">
        <v>8</v>
      </c>
      <c r="AB4" s="42">
        <v>200</v>
      </c>
      <c r="AC4" s="42"/>
      <c r="AD4" s="42"/>
      <c r="AE4" s="42"/>
      <c r="AF4" s="42"/>
      <c r="AG4" s="14" t="s">
        <v>153</v>
      </c>
    </row>
    <row r="5" spans="1:34" x14ac:dyDescent="0.25">
      <c r="A5" s="41" t="s">
        <v>92</v>
      </c>
      <c r="B5" s="41" t="s">
        <v>618</v>
      </c>
      <c r="C5" s="41">
        <v>300</v>
      </c>
      <c r="D5" s="41">
        <v>600</v>
      </c>
      <c r="E5" s="41">
        <v>800</v>
      </c>
      <c r="F5" s="41">
        <v>300</v>
      </c>
      <c r="G5" s="41">
        <v>200</v>
      </c>
      <c r="H5" s="41">
        <v>160</v>
      </c>
      <c r="I5" s="41">
        <v>60</v>
      </c>
      <c r="J5" s="41">
        <v>48</v>
      </c>
      <c r="K5" s="41">
        <v>200</v>
      </c>
      <c r="L5" s="41">
        <v>200</v>
      </c>
      <c r="M5" s="41">
        <v>20</v>
      </c>
      <c r="N5" s="41">
        <v>50</v>
      </c>
      <c r="O5" s="41">
        <v>50</v>
      </c>
      <c r="P5" s="41"/>
      <c r="Q5" s="41"/>
      <c r="R5" s="41"/>
      <c r="S5" s="41"/>
      <c r="T5" s="41"/>
      <c r="U5" s="41"/>
      <c r="V5" s="42">
        <v>5</v>
      </c>
      <c r="W5" s="42">
        <v>20</v>
      </c>
      <c r="X5" s="42">
        <v>3</v>
      </c>
      <c r="Y5" s="42">
        <v>16</v>
      </c>
      <c r="Z5" s="42">
        <v>2</v>
      </c>
      <c r="AA5" s="42">
        <v>10</v>
      </c>
      <c r="AB5" s="42">
        <v>150</v>
      </c>
      <c r="AC5" s="42">
        <v>10</v>
      </c>
      <c r="AD5" s="42">
        <v>250</v>
      </c>
      <c r="AE5" s="42"/>
      <c r="AF5" s="42"/>
      <c r="AG5" s="14" t="s">
        <v>153</v>
      </c>
    </row>
    <row r="6" spans="1:34" x14ac:dyDescent="0.25">
      <c r="A6" s="41" t="s">
        <v>92</v>
      </c>
      <c r="B6" s="41" t="s">
        <v>618</v>
      </c>
      <c r="C6" s="41">
        <v>300</v>
      </c>
      <c r="D6" s="41">
        <v>700</v>
      </c>
      <c r="E6" s="41">
        <v>750</v>
      </c>
      <c r="F6" s="41">
        <v>500</v>
      </c>
      <c r="G6" s="41">
        <v>200</v>
      </c>
      <c r="H6" s="41">
        <v>160</v>
      </c>
      <c r="I6" s="41">
        <v>0</v>
      </c>
      <c r="J6" s="41">
        <v>0</v>
      </c>
      <c r="K6" s="41">
        <v>200</v>
      </c>
      <c r="L6" s="41">
        <v>200</v>
      </c>
      <c r="M6" s="41">
        <v>20</v>
      </c>
      <c r="N6" s="41">
        <v>40</v>
      </c>
      <c r="O6" s="41">
        <v>40</v>
      </c>
      <c r="P6" s="41"/>
      <c r="Q6" s="41"/>
      <c r="R6" s="41"/>
      <c r="S6" s="41"/>
      <c r="T6" s="41"/>
      <c r="U6" s="41"/>
      <c r="V6" s="42">
        <v>4</v>
      </c>
      <c r="W6" s="42">
        <v>20</v>
      </c>
      <c r="X6" s="42">
        <v>3</v>
      </c>
      <c r="Y6" s="42">
        <v>16</v>
      </c>
      <c r="Z6" s="42">
        <v>2</v>
      </c>
      <c r="AA6" s="42">
        <v>10</v>
      </c>
      <c r="AB6" s="42">
        <v>100</v>
      </c>
      <c r="AC6" s="42">
        <v>10</v>
      </c>
      <c r="AD6" s="42">
        <v>200</v>
      </c>
      <c r="AE6" s="42"/>
      <c r="AF6" s="42"/>
      <c r="AG6" s="14" t="s">
        <v>153</v>
      </c>
    </row>
    <row r="7" spans="1:34" x14ac:dyDescent="0.25">
      <c r="A7" s="41" t="s">
        <v>92</v>
      </c>
      <c r="B7" s="41" t="s">
        <v>619</v>
      </c>
      <c r="C7" s="41">
        <v>300</v>
      </c>
      <c r="D7" s="41">
        <v>650</v>
      </c>
      <c r="E7" s="41">
        <v>500</v>
      </c>
      <c r="F7" s="41">
        <v>300</v>
      </c>
      <c r="G7" s="41">
        <v>200</v>
      </c>
      <c r="H7" s="41">
        <v>160</v>
      </c>
      <c r="I7" s="41">
        <v>60</v>
      </c>
      <c r="J7" s="41">
        <v>48</v>
      </c>
      <c r="K7" s="41">
        <v>200</v>
      </c>
      <c r="L7" s="41">
        <v>200</v>
      </c>
      <c r="M7" s="41">
        <v>20</v>
      </c>
      <c r="N7" s="41">
        <v>60</v>
      </c>
      <c r="O7" s="41">
        <v>50</v>
      </c>
      <c r="P7" s="41"/>
      <c r="Q7" s="41"/>
      <c r="R7" s="41"/>
      <c r="S7" s="41"/>
      <c r="T7" s="41"/>
      <c r="U7" s="41"/>
      <c r="V7" s="42">
        <v>3</v>
      </c>
      <c r="W7" s="42">
        <v>20</v>
      </c>
      <c r="X7" s="42">
        <v>3</v>
      </c>
      <c r="Y7" s="42">
        <v>16</v>
      </c>
      <c r="Z7" s="42">
        <v>2</v>
      </c>
      <c r="AA7" s="42">
        <v>10</v>
      </c>
      <c r="AB7" s="42">
        <v>100</v>
      </c>
      <c r="AC7" s="42">
        <v>10</v>
      </c>
      <c r="AD7" s="42">
        <v>150</v>
      </c>
      <c r="AE7" s="42"/>
      <c r="AF7" s="42"/>
      <c r="AG7" s="14" t="s">
        <v>153</v>
      </c>
    </row>
    <row r="8" spans="1:34" x14ac:dyDescent="0.25">
      <c r="A8" s="41" t="s">
        <v>92</v>
      </c>
      <c r="B8" s="41" t="s">
        <v>619</v>
      </c>
      <c r="C8" s="41">
        <v>300</v>
      </c>
      <c r="D8" s="41">
        <v>600</v>
      </c>
      <c r="E8" s="41">
        <v>450</v>
      </c>
      <c r="F8" s="41">
        <v>250</v>
      </c>
      <c r="G8" s="41">
        <v>200</v>
      </c>
      <c r="H8" s="41">
        <v>160</v>
      </c>
      <c r="I8" s="41">
        <v>0</v>
      </c>
      <c r="J8" s="41">
        <v>0</v>
      </c>
      <c r="K8" s="41">
        <v>200</v>
      </c>
      <c r="L8" s="41">
        <v>200</v>
      </c>
      <c r="M8" s="41">
        <v>20</v>
      </c>
      <c r="N8" s="41">
        <v>20</v>
      </c>
      <c r="O8" s="41">
        <v>10</v>
      </c>
      <c r="P8" s="41"/>
      <c r="Q8" s="41"/>
      <c r="R8" s="41"/>
      <c r="S8" s="41"/>
      <c r="T8" s="41"/>
      <c r="U8" s="41"/>
      <c r="V8" s="42">
        <v>4</v>
      </c>
      <c r="W8" s="42">
        <v>20</v>
      </c>
      <c r="X8" s="42">
        <v>3</v>
      </c>
      <c r="Y8" s="42">
        <v>16</v>
      </c>
      <c r="Z8" s="42">
        <v>2</v>
      </c>
      <c r="AA8" s="42">
        <v>10</v>
      </c>
      <c r="AB8" s="42">
        <v>150</v>
      </c>
      <c r="AC8" s="42">
        <v>10</v>
      </c>
      <c r="AD8" s="42">
        <v>125</v>
      </c>
      <c r="AE8" s="42"/>
      <c r="AF8" s="42"/>
      <c r="AG8" s="14" t="s">
        <v>153</v>
      </c>
    </row>
    <row r="9" spans="1:34" x14ac:dyDescent="0.25">
      <c r="A9" s="41" t="s">
        <v>92</v>
      </c>
      <c r="B9" s="41" t="s">
        <v>620</v>
      </c>
      <c r="C9" s="41">
        <v>350</v>
      </c>
      <c r="D9" s="41">
        <v>600</v>
      </c>
      <c r="E9" s="41">
        <v>800</v>
      </c>
      <c r="F9" s="41">
        <v>150</v>
      </c>
      <c r="G9" s="41">
        <v>200</v>
      </c>
      <c r="H9" s="41">
        <v>160</v>
      </c>
      <c r="I9" s="41">
        <v>60</v>
      </c>
      <c r="J9" s="41">
        <v>48</v>
      </c>
      <c r="K9" s="41">
        <v>200</v>
      </c>
      <c r="L9" s="41">
        <v>200</v>
      </c>
      <c r="M9" s="41">
        <v>20</v>
      </c>
      <c r="N9" s="41"/>
      <c r="O9" s="41"/>
      <c r="P9" s="41">
        <v>0</v>
      </c>
      <c r="Q9" s="41">
        <v>50</v>
      </c>
      <c r="R9" s="41">
        <v>600</v>
      </c>
      <c r="S9" s="41" t="s">
        <v>621</v>
      </c>
      <c r="T9" s="41" t="s">
        <v>622</v>
      </c>
      <c r="U9" s="41">
        <v>5.9</v>
      </c>
      <c r="V9" s="42">
        <v>3</v>
      </c>
      <c r="W9" s="42">
        <v>20</v>
      </c>
      <c r="X9" s="42">
        <v>3</v>
      </c>
      <c r="Y9" s="42">
        <v>20</v>
      </c>
      <c r="Z9" s="42">
        <v>2</v>
      </c>
      <c r="AA9" s="42">
        <v>10</v>
      </c>
      <c r="AB9" s="42">
        <v>100</v>
      </c>
      <c r="AC9" s="42"/>
      <c r="AD9" s="42"/>
      <c r="AE9" s="42">
        <v>10</v>
      </c>
      <c r="AF9" s="42">
        <v>250</v>
      </c>
      <c r="AG9" s="14" t="s">
        <v>153</v>
      </c>
    </row>
    <row r="10" spans="1:34" x14ac:dyDescent="0.25">
      <c r="A10" s="41" t="s">
        <v>92</v>
      </c>
      <c r="B10" s="41" t="s">
        <v>620</v>
      </c>
      <c r="C10" s="41">
        <v>250</v>
      </c>
      <c r="D10" s="41">
        <v>700</v>
      </c>
      <c r="E10" s="41">
        <v>950</v>
      </c>
      <c r="F10" s="41">
        <v>125</v>
      </c>
      <c r="G10" s="41">
        <v>200</v>
      </c>
      <c r="H10" s="41">
        <v>160</v>
      </c>
      <c r="I10" s="41">
        <v>0</v>
      </c>
      <c r="J10" s="41">
        <v>0</v>
      </c>
      <c r="K10" s="41">
        <v>200</v>
      </c>
      <c r="L10" s="41">
        <v>200</v>
      </c>
      <c r="M10" s="41">
        <v>20</v>
      </c>
      <c r="N10" s="41"/>
      <c r="O10" s="41"/>
      <c r="P10" s="41">
        <v>0</v>
      </c>
      <c r="Q10" s="41">
        <v>75</v>
      </c>
      <c r="R10" s="41">
        <v>600</v>
      </c>
      <c r="S10" s="41" t="s">
        <v>621</v>
      </c>
      <c r="T10" s="41" t="s">
        <v>622</v>
      </c>
      <c r="U10" s="41">
        <v>4</v>
      </c>
      <c r="V10" s="42">
        <v>3</v>
      </c>
      <c r="W10" s="42">
        <v>20</v>
      </c>
      <c r="X10" s="42">
        <v>2</v>
      </c>
      <c r="Y10" s="42">
        <v>20</v>
      </c>
      <c r="Z10" s="42">
        <v>2</v>
      </c>
      <c r="AA10" s="42">
        <v>10</v>
      </c>
      <c r="AB10" s="42">
        <v>125</v>
      </c>
      <c r="AC10" s="42"/>
      <c r="AD10" s="42"/>
      <c r="AE10" s="42">
        <v>8</v>
      </c>
      <c r="AF10" s="42">
        <v>200</v>
      </c>
      <c r="AG10" s="14" t="s">
        <v>153</v>
      </c>
    </row>
    <row r="11" spans="1:34" x14ac:dyDescent="0.25">
      <c r="A11" s="41" t="s">
        <v>92</v>
      </c>
      <c r="B11" s="41" t="s">
        <v>623</v>
      </c>
      <c r="C11" s="41">
        <v>300</v>
      </c>
      <c r="D11" s="41">
        <v>650</v>
      </c>
      <c r="E11" s="41">
        <v>650</v>
      </c>
      <c r="F11" s="41">
        <v>150</v>
      </c>
      <c r="G11" s="41">
        <v>200</v>
      </c>
      <c r="H11" s="41">
        <v>160</v>
      </c>
      <c r="I11" s="41">
        <v>60</v>
      </c>
      <c r="J11" s="41">
        <v>48</v>
      </c>
      <c r="K11" s="41">
        <v>200</v>
      </c>
      <c r="L11" s="41">
        <v>200</v>
      </c>
      <c r="M11" s="41">
        <v>20</v>
      </c>
      <c r="N11" s="41"/>
      <c r="O11" s="41"/>
      <c r="P11" s="41">
        <v>0</v>
      </c>
      <c r="Q11" s="41">
        <v>30</v>
      </c>
      <c r="R11" s="41">
        <v>700</v>
      </c>
      <c r="S11" s="41" t="s">
        <v>621</v>
      </c>
      <c r="T11" s="41" t="s">
        <v>622</v>
      </c>
      <c r="U11" s="41">
        <v>3</v>
      </c>
      <c r="V11" s="42">
        <v>3</v>
      </c>
      <c r="W11" s="42">
        <v>20</v>
      </c>
      <c r="X11" s="42">
        <v>3</v>
      </c>
      <c r="Y11" s="42">
        <v>20</v>
      </c>
      <c r="Z11" s="42">
        <v>2</v>
      </c>
      <c r="AA11" s="42">
        <v>10</v>
      </c>
      <c r="AB11" s="42">
        <v>125</v>
      </c>
      <c r="AC11" s="42"/>
      <c r="AD11" s="42"/>
      <c r="AE11" s="42">
        <v>10</v>
      </c>
      <c r="AF11" s="42">
        <v>250</v>
      </c>
      <c r="AG11" s="14" t="s">
        <v>153</v>
      </c>
    </row>
    <row r="12" spans="1:34" x14ac:dyDescent="0.25">
      <c r="A12" s="41" t="s">
        <v>92</v>
      </c>
      <c r="B12" s="41" t="s">
        <v>623</v>
      </c>
      <c r="C12" s="41">
        <v>250</v>
      </c>
      <c r="D12" s="41">
        <v>700</v>
      </c>
      <c r="E12" s="41">
        <v>750</v>
      </c>
      <c r="F12" s="41">
        <v>125</v>
      </c>
      <c r="G12" s="41">
        <v>200</v>
      </c>
      <c r="H12" s="41">
        <v>160</v>
      </c>
      <c r="I12" s="41">
        <v>0</v>
      </c>
      <c r="J12" s="41">
        <v>0</v>
      </c>
      <c r="K12" s="41">
        <v>200</v>
      </c>
      <c r="L12" s="41">
        <v>200</v>
      </c>
      <c r="M12" s="41">
        <v>20</v>
      </c>
      <c r="N12" s="41"/>
      <c r="O12" s="41"/>
      <c r="P12" s="41">
        <v>0</v>
      </c>
      <c r="Q12" s="41">
        <v>50</v>
      </c>
      <c r="R12" s="41">
        <v>750</v>
      </c>
      <c r="S12" s="41" t="s">
        <v>621</v>
      </c>
      <c r="T12" s="41" t="s">
        <v>622</v>
      </c>
      <c r="U12" s="41">
        <v>4</v>
      </c>
      <c r="V12" s="42">
        <v>3</v>
      </c>
      <c r="W12" s="42">
        <v>20</v>
      </c>
      <c r="X12" s="42">
        <v>2</v>
      </c>
      <c r="Y12" s="42">
        <v>20</v>
      </c>
      <c r="Z12" s="42">
        <v>2</v>
      </c>
      <c r="AA12" s="42">
        <v>10</v>
      </c>
      <c r="AB12" s="42">
        <v>125</v>
      </c>
      <c r="AC12" s="42"/>
      <c r="AD12" s="42"/>
      <c r="AE12" s="42">
        <v>8</v>
      </c>
      <c r="AF12" s="42">
        <v>200</v>
      </c>
      <c r="AG12" s="14" t="s">
        <v>153</v>
      </c>
    </row>
    <row r="13" spans="1:34" x14ac:dyDescent="0.25">
      <c r="A13" s="41"/>
      <c r="B13" s="41"/>
      <c r="C13" s="41"/>
      <c r="D13" s="41"/>
      <c r="E13" s="41"/>
      <c r="F13" s="41"/>
      <c r="G13" s="41"/>
      <c r="H13" s="41"/>
      <c r="I13" s="41"/>
      <c r="J13" s="41"/>
      <c r="K13" s="41"/>
      <c r="L13" s="41"/>
      <c r="M13" s="41"/>
      <c r="N13" s="41"/>
      <c r="O13" s="41"/>
      <c r="P13" s="41"/>
      <c r="Q13" s="41"/>
      <c r="R13" s="41"/>
      <c r="S13" s="41"/>
      <c r="T13" s="41"/>
      <c r="U13" s="41"/>
      <c r="V13" s="42"/>
      <c r="W13" s="42"/>
      <c r="X13" s="42"/>
      <c r="Y13" s="42"/>
      <c r="Z13" s="42"/>
      <c r="AA13" s="42"/>
      <c r="AB13" s="42"/>
      <c r="AC13" s="42"/>
      <c r="AD13" s="42"/>
      <c r="AE13" s="42"/>
      <c r="AF13" s="42"/>
      <c r="AG13" s="14"/>
    </row>
    <row r="14" spans="1:34" x14ac:dyDescent="0.25">
      <c r="B14" s="43" t="s">
        <v>624</v>
      </c>
      <c r="C14" s="310" t="s">
        <v>625</v>
      </c>
      <c r="D14" s="311"/>
      <c r="E14" s="311"/>
      <c r="F14" s="312"/>
      <c r="G14" s="310" t="s">
        <v>626</v>
      </c>
      <c r="H14" s="311"/>
      <c r="I14" s="311"/>
      <c r="J14" s="311"/>
      <c r="K14" s="311"/>
      <c r="L14" s="311"/>
      <c r="M14" s="311"/>
      <c r="N14" s="311"/>
      <c r="O14" s="311"/>
      <c r="P14" s="311"/>
      <c r="Q14" s="311"/>
      <c r="R14" s="311"/>
      <c r="S14" s="311"/>
      <c r="T14" s="311"/>
      <c r="U14" s="312"/>
      <c r="V14" s="310" t="s">
        <v>627</v>
      </c>
      <c r="W14" s="311"/>
      <c r="X14" s="311"/>
      <c r="Y14" s="311"/>
      <c r="Z14" s="311"/>
      <c r="AA14" s="311"/>
      <c r="AB14" s="311"/>
      <c r="AC14" s="311"/>
      <c r="AD14" s="311"/>
      <c r="AE14" s="311"/>
      <c r="AF14" s="312"/>
      <c r="AG14" s="44"/>
      <c r="AH14" s="45"/>
    </row>
  </sheetData>
  <mergeCells count="3">
    <mergeCell ref="C14:F14"/>
    <mergeCell ref="G14:U14"/>
    <mergeCell ref="V14:AF14"/>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8"/>
  <dimension ref="A1:AF12"/>
  <sheetViews>
    <sheetView workbookViewId="0">
      <selection activeCell="A3" sqref="A3:AF12"/>
    </sheetView>
  </sheetViews>
  <sheetFormatPr defaultRowHeight="15" x14ac:dyDescent="0.25"/>
  <cols>
    <col min="1" max="1" width="13.28515625" customWidth="1"/>
    <col min="2" max="2" width="12.5703125" customWidth="1"/>
    <col min="3" max="3" width="12.42578125" customWidth="1"/>
    <col min="4" max="4" width="15.5703125" customWidth="1"/>
    <col min="5" max="5" width="13.140625" customWidth="1"/>
    <col min="6" max="6" width="12.7109375" customWidth="1"/>
    <col min="7" max="7" width="15.140625" customWidth="1"/>
    <col min="8" max="8" width="18.140625" customWidth="1"/>
    <col min="9" max="9" width="12.7109375" customWidth="1"/>
    <col min="10" max="10" width="11.28515625" customWidth="1"/>
    <col min="11" max="11" width="9.85546875" customWidth="1"/>
    <col min="12" max="12" width="12.28515625" customWidth="1"/>
    <col min="13" max="13" width="33" bestFit="1" customWidth="1"/>
    <col min="14" max="14" width="32.42578125" bestFit="1" customWidth="1"/>
    <col min="15" max="15" width="9.7109375" bestFit="1" customWidth="1"/>
    <col min="16" max="16" width="10.7109375" bestFit="1" customWidth="1"/>
    <col min="17" max="17" width="12.85546875" bestFit="1" customWidth="1"/>
    <col min="18" max="18" width="10.7109375" customWidth="1"/>
    <col min="19" max="19" width="13.42578125" customWidth="1"/>
    <col min="20" max="20" width="14.85546875" bestFit="1" customWidth="1"/>
    <col min="21" max="22" width="14.85546875" customWidth="1"/>
    <col min="23" max="23" width="15" bestFit="1" customWidth="1"/>
    <col min="24" max="24" width="19.140625" bestFit="1" customWidth="1"/>
    <col min="25" max="28" width="19.140625" customWidth="1"/>
    <col min="29" max="29" width="11.42578125" bestFit="1" customWidth="1"/>
    <col min="30" max="30" width="15.5703125" bestFit="1" customWidth="1"/>
  </cols>
  <sheetData>
    <row r="1" spans="1:32" x14ac:dyDescent="0.25">
      <c r="A1" s="1" t="s">
        <v>156</v>
      </c>
      <c r="B1" s="1" t="s">
        <v>157</v>
      </c>
      <c r="C1" s="1" t="s">
        <v>158</v>
      </c>
      <c r="D1" s="1" t="s">
        <v>159</v>
      </c>
      <c r="E1" s="1" t="s">
        <v>160</v>
      </c>
      <c r="F1" s="1" t="s">
        <v>161</v>
      </c>
      <c r="G1" s="1" t="s">
        <v>162</v>
      </c>
      <c r="H1" s="1" t="s">
        <v>163</v>
      </c>
      <c r="I1" s="1" t="s">
        <v>164</v>
      </c>
      <c r="J1" s="1" t="s">
        <v>165</v>
      </c>
      <c r="K1" s="1" t="s">
        <v>166</v>
      </c>
      <c r="L1" s="1" t="s">
        <v>167</v>
      </c>
      <c r="M1" s="1" t="s">
        <v>628</v>
      </c>
      <c r="N1" s="1" t="s">
        <v>629</v>
      </c>
      <c r="O1" s="1" t="s">
        <v>630</v>
      </c>
      <c r="P1" s="1" t="s">
        <v>631</v>
      </c>
      <c r="Q1" s="1" t="s">
        <v>632</v>
      </c>
      <c r="R1" s="1" t="s">
        <v>633</v>
      </c>
      <c r="S1" s="1" t="s">
        <v>634</v>
      </c>
      <c r="T1" s="1" t="s">
        <v>635</v>
      </c>
      <c r="U1" s="1" t="s">
        <v>636</v>
      </c>
      <c r="V1" s="1" t="s">
        <v>637</v>
      </c>
      <c r="W1" s="1" t="s">
        <v>638</v>
      </c>
      <c r="X1" s="1" t="s">
        <v>639</v>
      </c>
      <c r="Y1" s="1" t="s">
        <v>640</v>
      </c>
      <c r="Z1" s="1" t="s">
        <v>641</v>
      </c>
      <c r="AA1" s="1" t="s">
        <v>642</v>
      </c>
      <c r="AB1" s="1" t="s">
        <v>643</v>
      </c>
      <c r="AC1" s="1" t="s">
        <v>644</v>
      </c>
      <c r="AD1" s="1" t="s">
        <v>645</v>
      </c>
      <c r="AE1" s="1" t="s">
        <v>121</v>
      </c>
      <c r="AF1" s="1" t="s">
        <v>168</v>
      </c>
    </row>
    <row r="2" spans="1:32" x14ac:dyDescent="0.25">
      <c r="A2" s="1" t="s">
        <v>171</v>
      </c>
      <c r="B2" s="1" t="s">
        <v>171</v>
      </c>
      <c r="C2" s="1"/>
      <c r="D2" s="1"/>
      <c r="E2" s="1" t="s">
        <v>171</v>
      </c>
      <c r="F2" s="1" t="s">
        <v>171</v>
      </c>
      <c r="G2" s="1"/>
      <c r="H2" s="1"/>
      <c r="I2" s="1" t="s">
        <v>172</v>
      </c>
      <c r="J2" s="1" t="s">
        <v>172</v>
      </c>
      <c r="K2" s="1"/>
      <c r="L2" s="1"/>
      <c r="M2" s="1"/>
      <c r="N2" s="1"/>
      <c r="O2" s="1" t="s">
        <v>171</v>
      </c>
      <c r="P2" s="1" t="s">
        <v>172</v>
      </c>
      <c r="Q2" s="1" t="s">
        <v>566</v>
      </c>
      <c r="R2" s="1" t="s">
        <v>566</v>
      </c>
      <c r="S2" s="1"/>
      <c r="T2" s="1"/>
      <c r="U2" s="1" t="s">
        <v>172</v>
      </c>
      <c r="V2" s="1" t="s">
        <v>172</v>
      </c>
      <c r="W2" s="1"/>
      <c r="X2" s="1"/>
      <c r="Y2" s="1" t="s">
        <v>172</v>
      </c>
      <c r="Z2" s="1" t="s">
        <v>172</v>
      </c>
      <c r="AA2" s="1"/>
      <c r="AB2" s="1"/>
      <c r="AC2" s="1"/>
      <c r="AD2" s="1"/>
      <c r="AE2" s="1"/>
      <c r="AF2" s="1"/>
    </row>
    <row r="3" spans="1:32" x14ac:dyDescent="0.25">
      <c r="A3" s="46"/>
      <c r="B3" s="46"/>
      <c r="C3" s="12"/>
      <c r="D3" s="47"/>
      <c r="E3" s="46"/>
      <c r="F3" s="46"/>
      <c r="G3" s="12"/>
      <c r="H3" s="47"/>
      <c r="I3" s="46"/>
      <c r="J3" s="46"/>
      <c r="K3" s="12"/>
      <c r="L3" s="47"/>
      <c r="M3" s="12"/>
      <c r="N3" s="47"/>
      <c r="O3" s="47"/>
      <c r="P3" s="47"/>
      <c r="Q3" s="47"/>
      <c r="R3" s="47"/>
      <c r="S3" s="47"/>
      <c r="T3" s="47"/>
      <c r="U3" s="47"/>
      <c r="V3" s="47"/>
      <c r="W3" s="47"/>
      <c r="X3" s="47"/>
      <c r="Y3" s="47"/>
      <c r="Z3" s="47"/>
      <c r="AA3" s="47"/>
      <c r="AB3" s="47"/>
      <c r="AC3" s="47"/>
      <c r="AD3" s="47"/>
      <c r="AE3" s="12"/>
      <c r="AF3" s="47"/>
    </row>
    <row r="4" spans="1:32" x14ac:dyDescent="0.25">
      <c r="A4" s="46"/>
      <c r="B4" s="46"/>
      <c r="C4" s="12"/>
      <c r="D4" s="47"/>
      <c r="E4" s="46"/>
      <c r="F4" s="46"/>
      <c r="G4" s="12"/>
      <c r="H4" s="47"/>
      <c r="I4" s="46"/>
      <c r="J4" s="46"/>
      <c r="K4" s="12"/>
      <c r="L4" s="47"/>
      <c r="M4" s="12"/>
      <c r="N4" s="47"/>
      <c r="O4" s="47"/>
      <c r="P4" s="47"/>
      <c r="Q4" s="47"/>
      <c r="R4" s="47"/>
      <c r="S4" s="47"/>
      <c r="T4" s="47"/>
      <c r="U4" s="47"/>
      <c r="V4" s="47"/>
      <c r="W4" s="47"/>
      <c r="X4" s="47"/>
      <c r="Y4" s="47"/>
      <c r="Z4" s="47"/>
      <c r="AA4" s="47"/>
      <c r="AB4" s="47"/>
      <c r="AC4" s="47"/>
      <c r="AD4" s="47"/>
      <c r="AE4" s="12"/>
      <c r="AF4" s="47"/>
    </row>
    <row r="5" spans="1:32" x14ac:dyDescent="0.25">
      <c r="A5" s="46"/>
      <c r="B5" s="46"/>
      <c r="C5" s="12"/>
      <c r="D5" s="47"/>
      <c r="E5" s="46"/>
      <c r="F5" s="46"/>
      <c r="G5" s="12"/>
      <c r="H5" s="47"/>
      <c r="I5" s="46"/>
      <c r="J5" s="46"/>
      <c r="K5" s="12"/>
      <c r="L5" s="47"/>
      <c r="M5" s="12"/>
      <c r="N5" s="47"/>
      <c r="O5" s="47"/>
      <c r="P5" s="47"/>
      <c r="Q5" s="47"/>
      <c r="R5" s="47"/>
      <c r="S5" s="47"/>
      <c r="T5" s="47"/>
      <c r="U5" s="47"/>
      <c r="V5" s="47"/>
      <c r="W5" s="47"/>
      <c r="X5" s="47"/>
      <c r="Y5" s="47"/>
      <c r="Z5" s="47"/>
      <c r="AA5" s="47"/>
      <c r="AB5" s="47"/>
      <c r="AC5" s="47"/>
      <c r="AD5" s="47"/>
      <c r="AE5" s="12"/>
      <c r="AF5" s="47"/>
    </row>
    <row r="6" spans="1:32" x14ac:dyDescent="0.25">
      <c r="A6" s="46"/>
      <c r="B6" s="46"/>
      <c r="C6" s="12"/>
      <c r="D6" s="47"/>
      <c r="E6" s="46"/>
      <c r="F6" s="46"/>
      <c r="G6" s="12"/>
      <c r="H6" s="47"/>
      <c r="I6" s="46"/>
      <c r="J6" s="46"/>
      <c r="K6" s="12"/>
      <c r="L6" s="47"/>
      <c r="M6" s="12"/>
      <c r="N6" s="47"/>
      <c r="O6" s="47"/>
      <c r="P6" s="47"/>
      <c r="Q6" s="47"/>
      <c r="R6" s="47"/>
      <c r="S6" s="47"/>
      <c r="T6" s="47"/>
      <c r="U6" s="47"/>
      <c r="V6" s="47"/>
      <c r="W6" s="47"/>
      <c r="X6" s="47"/>
      <c r="Y6" s="47"/>
      <c r="Z6" s="47"/>
      <c r="AA6" s="47"/>
      <c r="AB6" s="47"/>
      <c r="AC6" s="47"/>
      <c r="AD6" s="47"/>
      <c r="AE6" s="12"/>
      <c r="AF6" s="47"/>
    </row>
    <row r="7" spans="1:32" x14ac:dyDescent="0.25">
      <c r="A7" s="46"/>
      <c r="B7" s="46"/>
      <c r="C7" s="12"/>
      <c r="D7" s="47"/>
      <c r="E7" s="46"/>
      <c r="F7" s="46"/>
      <c r="G7" s="12"/>
      <c r="H7" s="47"/>
      <c r="I7" s="46"/>
      <c r="J7" s="46"/>
      <c r="K7" s="12"/>
      <c r="L7" s="47"/>
      <c r="M7" s="12"/>
      <c r="N7" s="47"/>
      <c r="O7" s="47"/>
      <c r="P7" s="47"/>
      <c r="Q7" s="47"/>
      <c r="R7" s="47"/>
      <c r="S7" s="47"/>
      <c r="T7" s="47"/>
      <c r="U7" s="47"/>
      <c r="V7" s="47"/>
      <c r="W7" s="47"/>
      <c r="X7" s="47"/>
      <c r="Y7" s="47"/>
      <c r="Z7" s="47"/>
      <c r="AA7" s="47"/>
      <c r="AB7" s="47"/>
      <c r="AC7" s="47"/>
      <c r="AD7" s="47"/>
      <c r="AE7" s="12"/>
      <c r="AF7" s="47"/>
    </row>
    <row r="8" spans="1:32" x14ac:dyDescent="0.25">
      <c r="A8" s="46"/>
      <c r="B8" s="46"/>
      <c r="C8" s="12"/>
      <c r="D8" s="47"/>
      <c r="E8" s="46"/>
      <c r="F8" s="46"/>
      <c r="G8" s="12"/>
      <c r="H8" s="47"/>
      <c r="I8" s="46"/>
      <c r="J8" s="46"/>
      <c r="K8" s="12"/>
      <c r="L8" s="47"/>
      <c r="M8" s="12"/>
      <c r="N8" s="47"/>
      <c r="O8" s="47"/>
      <c r="P8" s="47"/>
      <c r="Q8" s="47"/>
      <c r="R8" s="47"/>
      <c r="S8" s="47"/>
      <c r="T8" s="47"/>
      <c r="U8" s="47"/>
      <c r="V8" s="47"/>
      <c r="W8" s="47"/>
      <c r="X8" s="47"/>
      <c r="Y8" s="47"/>
      <c r="Z8" s="47"/>
      <c r="AA8" s="47"/>
      <c r="AB8" s="47"/>
      <c r="AC8" s="47"/>
      <c r="AD8" s="47"/>
      <c r="AE8" s="12"/>
      <c r="AF8" s="47"/>
    </row>
    <row r="9" spans="1:32" x14ac:dyDescent="0.25">
      <c r="A9" s="46"/>
      <c r="B9" s="46"/>
      <c r="C9" s="12"/>
      <c r="D9" s="47"/>
      <c r="E9" s="46"/>
      <c r="F9" s="46"/>
      <c r="G9" s="12"/>
      <c r="H9" s="47"/>
      <c r="I9" s="46"/>
      <c r="J9" s="46"/>
      <c r="K9" s="12"/>
      <c r="L9" s="47"/>
      <c r="M9" s="12"/>
      <c r="N9" s="47"/>
      <c r="O9" s="47"/>
      <c r="P9" s="47"/>
      <c r="Q9" s="47"/>
      <c r="R9" s="47"/>
      <c r="S9" s="47"/>
      <c r="T9" s="47"/>
      <c r="U9" s="47"/>
      <c r="V9" s="47"/>
      <c r="W9" s="47"/>
      <c r="X9" s="47"/>
      <c r="Y9" s="47"/>
      <c r="Z9" s="47"/>
      <c r="AA9" s="47"/>
      <c r="AB9" s="47"/>
      <c r="AC9" s="47"/>
      <c r="AD9" s="47"/>
      <c r="AE9" s="12"/>
      <c r="AF9" s="47"/>
    </row>
    <row r="10" spans="1:32" x14ac:dyDescent="0.25">
      <c r="A10" s="46"/>
      <c r="B10" s="46"/>
      <c r="C10" s="12"/>
      <c r="D10" s="47"/>
      <c r="E10" s="46"/>
      <c r="F10" s="46"/>
      <c r="G10" s="12"/>
      <c r="H10" s="47"/>
      <c r="I10" s="46"/>
      <c r="J10" s="46"/>
      <c r="K10" s="12"/>
      <c r="L10" s="47"/>
      <c r="M10" s="12"/>
      <c r="N10" s="47"/>
      <c r="O10" s="47"/>
      <c r="P10" s="47"/>
      <c r="Q10" s="47"/>
      <c r="R10" s="47"/>
      <c r="S10" s="47"/>
      <c r="T10" s="47"/>
      <c r="U10" s="47"/>
      <c r="V10" s="47"/>
      <c r="W10" s="47"/>
      <c r="X10" s="47"/>
      <c r="Y10" s="47"/>
      <c r="Z10" s="47"/>
      <c r="AA10" s="47"/>
      <c r="AB10" s="47"/>
      <c r="AC10" s="47"/>
      <c r="AD10" s="47"/>
      <c r="AE10" s="12"/>
      <c r="AF10" s="47"/>
    </row>
    <row r="11" spans="1:32" x14ac:dyDescent="0.25">
      <c r="A11" s="46"/>
      <c r="B11" s="46"/>
      <c r="C11" s="12"/>
      <c r="D11" s="47"/>
      <c r="E11" s="46"/>
      <c r="F11" s="46"/>
      <c r="G11" s="12"/>
      <c r="H11" s="47"/>
      <c r="I11" s="46"/>
      <c r="J11" s="46"/>
      <c r="K11" s="12"/>
      <c r="L11" s="47"/>
      <c r="M11" s="12"/>
      <c r="N11" s="47"/>
      <c r="O11" s="47"/>
      <c r="P11" s="47"/>
      <c r="Q11" s="47"/>
      <c r="R11" s="47"/>
      <c r="S11" s="47"/>
      <c r="T11" s="47"/>
      <c r="U11" s="47"/>
      <c r="V11" s="47"/>
      <c r="W11" s="47"/>
      <c r="X11" s="47"/>
      <c r="Y11" s="47"/>
      <c r="Z11" s="47"/>
      <c r="AA11" s="47"/>
      <c r="AB11" s="47"/>
      <c r="AC11" s="47"/>
      <c r="AD11" s="47"/>
      <c r="AE11" s="12"/>
      <c r="AF11" s="47"/>
    </row>
    <row r="12" spans="1:32" x14ac:dyDescent="0.25">
      <c r="A12" s="46"/>
      <c r="B12" s="46"/>
      <c r="C12" s="12"/>
      <c r="D12" s="47"/>
      <c r="E12" s="46"/>
      <c r="F12" s="46"/>
      <c r="G12" s="12"/>
      <c r="H12" s="47"/>
      <c r="I12" s="46"/>
      <c r="J12" s="46"/>
      <c r="K12" s="12"/>
      <c r="L12" s="47"/>
      <c r="M12" s="12"/>
      <c r="N12" s="47"/>
      <c r="O12" s="47"/>
      <c r="P12" s="47"/>
      <c r="Q12" s="47"/>
      <c r="R12" s="47"/>
      <c r="S12" s="47"/>
      <c r="T12" s="47"/>
      <c r="U12" s="47"/>
      <c r="V12" s="47"/>
      <c r="W12" s="47"/>
      <c r="X12" s="47"/>
      <c r="Y12" s="47"/>
      <c r="Z12" s="47"/>
      <c r="AA12" s="47"/>
      <c r="AB12" s="47"/>
      <c r="AC12" s="47"/>
      <c r="AD12" s="47"/>
      <c r="AE12" s="12"/>
      <c r="AF12" s="47"/>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Q30"/>
  <sheetViews>
    <sheetView topLeftCell="D1" workbookViewId="0">
      <selection activeCell="P7" sqref="P7"/>
    </sheetView>
  </sheetViews>
  <sheetFormatPr defaultColWidth="9.140625" defaultRowHeight="15" x14ac:dyDescent="0.25"/>
  <cols>
    <col min="1" max="1" width="19" style="26" customWidth="1"/>
    <col min="2" max="2" width="21.85546875" style="26" customWidth="1"/>
    <col min="3" max="3" width="17.5703125" style="26" customWidth="1"/>
    <col min="4" max="4" width="22" style="26" bestFit="1" customWidth="1"/>
    <col min="5" max="5" width="17.42578125" style="26" bestFit="1" customWidth="1"/>
    <col min="6" max="6" width="15.5703125" style="26" bestFit="1" customWidth="1"/>
    <col min="7" max="7" width="23" style="26" bestFit="1" customWidth="1"/>
    <col min="8" max="8" width="10" style="26" bestFit="1" customWidth="1"/>
    <col min="9" max="9" width="11.7109375" style="26" bestFit="1" customWidth="1"/>
    <col min="10" max="10" width="10" style="26" bestFit="1" customWidth="1"/>
    <col min="11" max="11" width="11.85546875" style="26" bestFit="1" customWidth="1"/>
    <col min="12" max="12" width="21.42578125" style="26" bestFit="1" customWidth="1"/>
    <col min="13" max="13" width="11.140625" style="26" bestFit="1" customWidth="1"/>
    <col min="14" max="14" width="13.42578125" style="26" bestFit="1" customWidth="1"/>
    <col min="15" max="15" width="10.85546875" style="26" bestFit="1" customWidth="1"/>
    <col min="16" max="16" width="7.5703125" style="26" bestFit="1" customWidth="1"/>
    <col min="17" max="17" width="11.85546875" style="26" bestFit="1" customWidth="1"/>
    <col min="18" max="16384" width="9.140625" style="26"/>
  </cols>
  <sheetData>
    <row r="1" spans="1:17" s="30" customFormat="1" x14ac:dyDescent="0.25">
      <c r="A1" s="29" t="s">
        <v>546</v>
      </c>
      <c r="B1" s="29" t="s">
        <v>547</v>
      </c>
      <c r="C1" s="29" t="s">
        <v>548</v>
      </c>
      <c r="D1" s="29" t="s">
        <v>549</v>
      </c>
      <c r="E1" s="29" t="s">
        <v>550</v>
      </c>
      <c r="F1" s="29" t="s">
        <v>551</v>
      </c>
      <c r="G1" s="29" t="s">
        <v>552</v>
      </c>
      <c r="H1" s="29" t="s">
        <v>553</v>
      </c>
      <c r="I1" s="29" t="s">
        <v>554</v>
      </c>
      <c r="J1" s="29" t="s">
        <v>555</v>
      </c>
      <c r="K1" s="29" t="s">
        <v>556</v>
      </c>
      <c r="L1" s="29" t="s">
        <v>557</v>
      </c>
      <c r="M1" s="29" t="s">
        <v>558</v>
      </c>
      <c r="N1" s="29" t="s">
        <v>559</v>
      </c>
      <c r="O1" s="29" t="s">
        <v>560</v>
      </c>
      <c r="P1" s="29" t="s">
        <v>561</v>
      </c>
      <c r="Q1" s="29" t="s">
        <v>562</v>
      </c>
    </row>
    <row r="2" spans="1:17" s="30" customFormat="1" x14ac:dyDescent="0.25">
      <c r="A2" s="27"/>
      <c r="B2" s="27"/>
      <c r="C2" s="27"/>
      <c r="D2" s="29"/>
      <c r="E2" s="29"/>
      <c r="F2" s="29" t="s">
        <v>563</v>
      </c>
      <c r="G2" s="29"/>
      <c r="H2" s="29" t="s">
        <v>0</v>
      </c>
      <c r="I2" s="29" t="s">
        <v>309</v>
      </c>
      <c r="J2" s="29" t="s">
        <v>564</v>
      </c>
      <c r="K2" s="29" t="s">
        <v>565</v>
      </c>
      <c r="L2" s="29"/>
      <c r="M2" s="29" t="s">
        <v>21</v>
      </c>
      <c r="N2" s="29" t="s">
        <v>90</v>
      </c>
      <c r="O2" s="29" t="s">
        <v>566</v>
      </c>
      <c r="P2" s="29" t="s">
        <v>567</v>
      </c>
      <c r="Q2" s="29"/>
    </row>
    <row r="3" spans="1:17" s="32" customFormat="1" x14ac:dyDescent="0.25">
      <c r="A3" s="31" t="s">
        <v>386</v>
      </c>
      <c r="B3" s="31" t="s">
        <v>568</v>
      </c>
      <c r="C3" s="31" t="s">
        <v>211</v>
      </c>
      <c r="D3" s="32">
        <v>0</v>
      </c>
      <c r="E3" s="33">
        <v>1</v>
      </c>
      <c r="F3" s="32">
        <v>30</v>
      </c>
      <c r="G3" s="32">
        <v>1</v>
      </c>
      <c r="H3" s="33">
        <v>10</v>
      </c>
      <c r="I3" s="33">
        <v>800</v>
      </c>
      <c r="J3" s="33">
        <v>1700</v>
      </c>
      <c r="K3" s="33">
        <v>0.2</v>
      </c>
      <c r="L3" s="32">
        <v>1</v>
      </c>
      <c r="M3" s="32">
        <v>0</v>
      </c>
      <c r="N3" s="32">
        <v>617</v>
      </c>
      <c r="Q3" s="32">
        <v>0.56999999999999995</v>
      </c>
    </row>
    <row r="4" spans="1:17" s="32" customFormat="1" x14ac:dyDescent="0.25">
      <c r="A4" s="31" t="s">
        <v>209</v>
      </c>
      <c r="B4" s="31" t="s">
        <v>569</v>
      </c>
      <c r="C4" s="31" t="s">
        <v>211</v>
      </c>
      <c r="D4" s="32">
        <v>1</v>
      </c>
      <c r="E4" s="33">
        <v>1</v>
      </c>
      <c r="F4" s="32">
        <v>30</v>
      </c>
      <c r="G4" s="32">
        <v>0</v>
      </c>
      <c r="H4" s="33">
        <v>15</v>
      </c>
      <c r="I4" s="33">
        <v>850</v>
      </c>
      <c r="J4" s="33">
        <v>1700</v>
      </c>
      <c r="K4" s="33">
        <v>0.2</v>
      </c>
      <c r="L4" s="32">
        <v>0</v>
      </c>
      <c r="O4" s="32">
        <v>65</v>
      </c>
      <c r="P4" s="32">
        <v>4.75</v>
      </c>
      <c r="Q4" s="32">
        <v>0.65</v>
      </c>
    </row>
    <row r="5" spans="1:17" s="32" customFormat="1" x14ac:dyDescent="0.25">
      <c r="A5" s="31"/>
      <c r="B5" s="31"/>
      <c r="C5" s="31"/>
    </row>
    <row r="6" spans="1:17" s="32" customFormat="1" x14ac:dyDescent="0.25">
      <c r="A6" s="31"/>
      <c r="B6" s="31"/>
      <c r="C6" s="31"/>
    </row>
    <row r="7" spans="1:17" s="32" customFormat="1" x14ac:dyDescent="0.25">
      <c r="A7" s="31"/>
      <c r="B7" s="31"/>
      <c r="C7" s="31"/>
    </row>
    <row r="8" spans="1:17" s="32" customFormat="1" x14ac:dyDescent="0.25">
      <c r="A8" s="31"/>
      <c r="B8" s="31"/>
      <c r="C8" s="31"/>
    </row>
    <row r="9" spans="1:17" s="32" customFormat="1" x14ac:dyDescent="0.25">
      <c r="A9" s="31"/>
      <c r="B9" s="31"/>
      <c r="C9" s="31"/>
    </row>
    <row r="10" spans="1:17" s="32" customFormat="1" x14ac:dyDescent="0.25">
      <c r="A10" s="31"/>
      <c r="B10" s="31"/>
      <c r="C10" s="31"/>
    </row>
    <row r="11" spans="1:17" s="30" customFormat="1" x14ac:dyDescent="0.25"/>
    <row r="20" spans="1:11" x14ac:dyDescent="0.25">
      <c r="A20" s="28"/>
    </row>
    <row r="21" spans="1:11" x14ac:dyDescent="0.25">
      <c r="A21" s="28"/>
      <c r="K21" s="28"/>
    </row>
    <row r="22" spans="1:11" x14ac:dyDescent="0.25">
      <c r="A22" s="28"/>
      <c r="K22" s="28"/>
    </row>
    <row r="23" spans="1:11" x14ac:dyDescent="0.25">
      <c r="A23" s="28"/>
      <c r="K23" s="28"/>
    </row>
    <row r="24" spans="1:11" x14ac:dyDescent="0.25">
      <c r="A24" s="28"/>
      <c r="K24" s="28"/>
    </row>
    <row r="25" spans="1:11" x14ac:dyDescent="0.25">
      <c r="A25" s="28"/>
      <c r="K25" s="28"/>
    </row>
    <row r="26" spans="1:11" x14ac:dyDescent="0.25">
      <c r="A26" s="28"/>
    </row>
    <row r="27" spans="1:11" x14ac:dyDescent="0.25">
      <c r="A27" s="28"/>
    </row>
    <row r="28" spans="1:11" x14ac:dyDescent="0.25">
      <c r="A28" s="28"/>
    </row>
    <row r="30" spans="1:11" x14ac:dyDescent="0.25">
      <c r="A30" s="28"/>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A1:U30"/>
  <sheetViews>
    <sheetView workbookViewId="0">
      <selection activeCell="A3" sqref="A3:XFD4"/>
    </sheetView>
  </sheetViews>
  <sheetFormatPr defaultColWidth="9.140625" defaultRowHeight="15" x14ac:dyDescent="0.25"/>
  <cols>
    <col min="1" max="1" width="11.28515625" style="26" bestFit="1" customWidth="1"/>
    <col min="2" max="2" width="10.85546875" style="26" bestFit="1" customWidth="1"/>
    <col min="3" max="3" width="11" style="26" bestFit="1" customWidth="1"/>
    <col min="4" max="4" width="61.7109375" style="26" bestFit="1" customWidth="1"/>
    <col min="5" max="5" width="8.7109375" style="26" bestFit="1" customWidth="1"/>
    <col min="6" max="6" width="10.140625" style="26" bestFit="1" customWidth="1"/>
    <col min="7" max="7" width="56.85546875" style="26" bestFit="1" customWidth="1"/>
    <col min="8" max="8" width="7.5703125" style="26" bestFit="1" customWidth="1"/>
    <col min="9" max="9" width="10.7109375" style="26" bestFit="1" customWidth="1"/>
    <col min="10" max="10" width="7.5703125" style="26" bestFit="1" customWidth="1"/>
    <col min="11" max="11" width="86.85546875" style="26" bestFit="1" customWidth="1"/>
    <col min="12" max="12" width="11.85546875" style="26" bestFit="1" customWidth="1"/>
    <col min="13" max="13" width="69" style="26" customWidth="1"/>
    <col min="14" max="15" width="20.28515625" style="26" customWidth="1"/>
    <col min="16" max="16" width="23.28515625" style="26" customWidth="1"/>
    <col min="17" max="16384" width="9.140625" style="26"/>
  </cols>
  <sheetData>
    <row r="1" spans="1:13" x14ac:dyDescent="0.25">
      <c r="A1" s="36" t="s">
        <v>570</v>
      </c>
      <c r="B1" s="36" t="s">
        <v>571</v>
      </c>
      <c r="C1" s="36" t="s">
        <v>572</v>
      </c>
      <c r="D1" s="36" t="s">
        <v>573</v>
      </c>
      <c r="E1" s="36" t="s">
        <v>574</v>
      </c>
      <c r="F1" s="36" t="s">
        <v>575</v>
      </c>
      <c r="G1" s="36" t="s">
        <v>576</v>
      </c>
      <c r="H1" s="36" t="s">
        <v>577</v>
      </c>
      <c r="I1" s="36" t="s">
        <v>578</v>
      </c>
      <c r="J1" s="36" t="s">
        <v>579</v>
      </c>
      <c r="K1" s="36" t="s">
        <v>580</v>
      </c>
      <c r="L1" s="36" t="s">
        <v>581</v>
      </c>
      <c r="M1" s="36" t="s">
        <v>582</v>
      </c>
    </row>
    <row r="2" spans="1:13" x14ac:dyDescent="0.25">
      <c r="A2" s="36"/>
      <c r="B2" s="36" t="s">
        <v>90</v>
      </c>
      <c r="C2" s="36" t="s">
        <v>90</v>
      </c>
      <c r="D2" s="36"/>
      <c r="E2" s="36" t="s">
        <v>21</v>
      </c>
      <c r="F2" s="36" t="s">
        <v>21</v>
      </c>
      <c r="G2" s="36"/>
      <c r="H2" s="36"/>
      <c r="I2" s="36"/>
      <c r="J2" s="36"/>
      <c r="K2" s="36"/>
      <c r="L2" s="36" t="s">
        <v>563</v>
      </c>
      <c r="M2" s="36"/>
    </row>
    <row r="3" spans="1:13" x14ac:dyDescent="0.25">
      <c r="A3" s="34"/>
      <c r="B3" s="34"/>
      <c r="C3" s="34"/>
      <c r="D3" s="35"/>
      <c r="E3" s="34"/>
      <c r="F3" s="34"/>
      <c r="G3" s="35"/>
      <c r="H3" s="34"/>
      <c r="I3" s="34"/>
      <c r="J3" s="34"/>
      <c r="K3" s="35"/>
      <c r="L3" s="34"/>
      <c r="M3" s="34"/>
    </row>
    <row r="4" spans="1:13" x14ac:dyDescent="0.25">
      <c r="A4" s="34"/>
      <c r="B4" s="34"/>
      <c r="C4" s="34"/>
      <c r="D4" s="35"/>
      <c r="E4" s="34"/>
      <c r="F4" s="34"/>
      <c r="G4" s="35"/>
      <c r="H4" s="34"/>
      <c r="I4" s="34"/>
      <c r="J4" s="34"/>
      <c r="K4" s="35"/>
      <c r="L4" s="34"/>
      <c r="M4" s="34"/>
    </row>
    <row r="5" spans="1:13" x14ac:dyDescent="0.25">
      <c r="A5" s="34"/>
      <c r="B5" s="34"/>
      <c r="C5" s="34"/>
      <c r="D5" s="35"/>
      <c r="E5" s="34"/>
      <c r="F5" s="34"/>
      <c r="G5" s="35"/>
      <c r="H5" s="34"/>
      <c r="I5" s="34"/>
      <c r="J5" s="34"/>
      <c r="K5" s="35"/>
      <c r="L5" s="34"/>
      <c r="M5" s="34"/>
    </row>
    <row r="6" spans="1:13" x14ac:dyDescent="0.25">
      <c r="A6" s="34"/>
      <c r="B6" s="34"/>
      <c r="C6" s="34"/>
      <c r="D6" s="35"/>
      <c r="E6" s="34"/>
      <c r="F6" s="34"/>
      <c r="G6" s="35"/>
      <c r="H6" s="34"/>
      <c r="I6" s="34"/>
      <c r="J6" s="34"/>
      <c r="K6" s="35"/>
      <c r="L6" s="34"/>
      <c r="M6" s="34"/>
    </row>
    <row r="7" spans="1:13" x14ac:dyDescent="0.25">
      <c r="A7" s="34"/>
      <c r="B7" s="34"/>
      <c r="C7" s="34"/>
      <c r="D7" s="35"/>
      <c r="E7" s="34"/>
      <c r="F7" s="34"/>
      <c r="G7" s="35"/>
      <c r="H7" s="34"/>
      <c r="I7" s="34"/>
      <c r="J7" s="34"/>
      <c r="K7" s="35"/>
      <c r="L7" s="34"/>
      <c r="M7" s="34"/>
    </row>
    <row r="8" spans="1:13" x14ac:dyDescent="0.25">
      <c r="A8" s="34"/>
      <c r="B8" s="34"/>
      <c r="C8" s="34"/>
      <c r="D8" s="35"/>
      <c r="E8" s="34"/>
      <c r="F8" s="34"/>
      <c r="G8" s="35"/>
      <c r="H8" s="34"/>
      <c r="I8" s="34"/>
      <c r="J8" s="34"/>
      <c r="K8" s="35"/>
      <c r="L8" s="34"/>
      <c r="M8" s="34"/>
    </row>
    <row r="9" spans="1:13" x14ac:dyDescent="0.25">
      <c r="A9" s="34"/>
      <c r="B9" s="34"/>
      <c r="C9" s="34"/>
      <c r="D9" s="35"/>
      <c r="E9" s="34"/>
      <c r="F9" s="34"/>
      <c r="G9" s="35"/>
      <c r="H9" s="34"/>
      <c r="I9" s="34"/>
      <c r="J9" s="34"/>
      <c r="K9" s="35"/>
      <c r="L9" s="34"/>
      <c r="M9" s="34"/>
    </row>
    <row r="10" spans="1:13" x14ac:dyDescent="0.25">
      <c r="A10" s="34"/>
      <c r="B10" s="34"/>
      <c r="C10" s="34"/>
      <c r="D10" s="35"/>
      <c r="E10" s="34"/>
      <c r="F10" s="34"/>
      <c r="G10" s="35"/>
      <c r="H10" s="34"/>
      <c r="I10" s="34"/>
      <c r="J10" s="34"/>
      <c r="K10" s="35"/>
      <c r="L10" s="34"/>
      <c r="M10" s="34"/>
    </row>
    <row r="20" spans="2:21" x14ac:dyDescent="0.25">
      <c r="B20" s="28"/>
      <c r="C20" s="28"/>
      <c r="D20" s="28"/>
    </row>
    <row r="21" spans="2:21" x14ac:dyDescent="0.25">
      <c r="B21" s="28"/>
      <c r="C21" s="28"/>
      <c r="D21" s="28"/>
      <c r="U21" s="28"/>
    </row>
    <row r="22" spans="2:21" x14ac:dyDescent="0.25">
      <c r="B22" s="28"/>
      <c r="C22" s="28"/>
      <c r="D22" s="28"/>
      <c r="U22" s="28"/>
    </row>
    <row r="23" spans="2:21" x14ac:dyDescent="0.25">
      <c r="B23" s="28"/>
      <c r="C23" s="28"/>
      <c r="D23" s="28"/>
      <c r="U23" s="28"/>
    </row>
    <row r="24" spans="2:21" x14ac:dyDescent="0.25">
      <c r="B24" s="28"/>
      <c r="C24" s="28"/>
      <c r="D24" s="28"/>
      <c r="U24" s="28"/>
    </row>
    <row r="25" spans="2:21" x14ac:dyDescent="0.25">
      <c r="B25" s="28"/>
      <c r="C25" s="28"/>
      <c r="D25" s="28"/>
      <c r="U25" s="28"/>
    </row>
    <row r="26" spans="2:21" x14ac:dyDescent="0.25">
      <c r="B26" s="28"/>
      <c r="C26" s="28"/>
      <c r="D26" s="28"/>
    </row>
    <row r="27" spans="2:21" x14ac:dyDescent="0.25">
      <c r="B27" s="28"/>
      <c r="C27" s="28"/>
      <c r="D27" s="28"/>
    </row>
    <row r="28" spans="2:21" x14ac:dyDescent="0.25">
      <c r="C28" s="28"/>
      <c r="D28" s="28"/>
    </row>
    <row r="30" spans="2:21" x14ac:dyDescent="0.25">
      <c r="C30" s="28"/>
      <c r="D30" s="28"/>
    </row>
  </sheetData>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5"/>
  <dimension ref="A1:P30"/>
  <sheetViews>
    <sheetView workbookViewId="0">
      <selection activeCell="C11" sqref="C11"/>
    </sheetView>
  </sheetViews>
  <sheetFormatPr defaultColWidth="9.140625" defaultRowHeight="15" x14ac:dyDescent="0.25"/>
  <cols>
    <col min="1" max="1" width="29.42578125" style="26" bestFit="1" customWidth="1"/>
    <col min="2" max="2" width="21.42578125" style="26" bestFit="1" customWidth="1"/>
    <col min="3" max="3" width="16.85546875" style="26" bestFit="1" customWidth="1"/>
    <col min="4" max="4" width="22" style="26" bestFit="1" customWidth="1"/>
    <col min="5" max="5" width="15.5703125" style="26" bestFit="1" customWidth="1"/>
    <col min="6" max="6" width="21.42578125" style="26" bestFit="1" customWidth="1"/>
    <col min="7" max="7" width="11.140625" style="26" bestFit="1" customWidth="1"/>
    <col min="8" max="8" width="13.42578125" style="26" bestFit="1" customWidth="1"/>
    <col min="9" max="9" width="10.85546875" style="26" bestFit="1" customWidth="1"/>
    <col min="10" max="10" width="7.5703125" style="26" bestFit="1" customWidth="1"/>
    <col min="11" max="11" width="11.85546875" style="26" bestFit="1" customWidth="1"/>
    <col min="12" max="16384" width="9.140625" style="26"/>
  </cols>
  <sheetData>
    <row r="1" spans="1:11" x14ac:dyDescent="0.25">
      <c r="A1" s="36" t="s">
        <v>546</v>
      </c>
      <c r="B1" s="36" t="s">
        <v>547</v>
      </c>
      <c r="C1" s="36" t="s">
        <v>548</v>
      </c>
      <c r="D1" s="36" t="s">
        <v>549</v>
      </c>
      <c r="E1" s="36" t="s">
        <v>551</v>
      </c>
      <c r="F1" s="36" t="s">
        <v>557</v>
      </c>
      <c r="G1" s="36" t="s">
        <v>558</v>
      </c>
      <c r="H1" s="36" t="s">
        <v>559</v>
      </c>
      <c r="I1" s="36" t="s">
        <v>560</v>
      </c>
      <c r="J1" s="36" t="s">
        <v>561</v>
      </c>
      <c r="K1" s="36" t="s">
        <v>562</v>
      </c>
    </row>
    <row r="2" spans="1:11" x14ac:dyDescent="0.25">
      <c r="A2" s="36"/>
      <c r="B2" s="36"/>
      <c r="C2" s="36"/>
      <c r="D2" s="36"/>
      <c r="E2" s="36" t="s">
        <v>563</v>
      </c>
      <c r="F2" s="36"/>
      <c r="G2" s="36" t="s">
        <v>21</v>
      </c>
      <c r="H2" s="36" t="s">
        <v>90</v>
      </c>
      <c r="I2" s="36" t="s">
        <v>566</v>
      </c>
      <c r="J2" s="36" t="s">
        <v>567</v>
      </c>
      <c r="K2" s="36"/>
    </row>
    <row r="3" spans="1:11" x14ac:dyDescent="0.25">
      <c r="A3" s="31" t="s">
        <v>386</v>
      </c>
      <c r="B3" s="31" t="s">
        <v>568</v>
      </c>
      <c r="C3" s="31" t="s">
        <v>211</v>
      </c>
      <c r="D3" s="32">
        <v>0</v>
      </c>
      <c r="E3" s="32">
        <v>15</v>
      </c>
      <c r="F3" s="32">
        <v>0</v>
      </c>
      <c r="G3" s="32"/>
      <c r="H3" s="32"/>
      <c r="I3" s="32">
        <v>87.75</v>
      </c>
      <c r="J3" s="32">
        <v>7.5</v>
      </c>
      <c r="K3" s="32">
        <v>0.56999999999999995</v>
      </c>
    </row>
    <row r="4" spans="1:11" x14ac:dyDescent="0.25">
      <c r="A4" s="37" t="s">
        <v>583</v>
      </c>
      <c r="B4" s="38" t="s">
        <v>584</v>
      </c>
      <c r="C4" s="39" t="s">
        <v>216</v>
      </c>
      <c r="D4" s="32">
        <v>1</v>
      </c>
      <c r="E4" s="32">
        <v>15</v>
      </c>
      <c r="F4" s="32">
        <v>0</v>
      </c>
      <c r="G4" s="32"/>
      <c r="H4" s="32"/>
      <c r="I4" s="32">
        <v>27</v>
      </c>
      <c r="J4" s="32">
        <v>3</v>
      </c>
      <c r="K4" s="32">
        <v>0.65</v>
      </c>
    </row>
    <row r="5" spans="1:11" x14ac:dyDescent="0.25">
      <c r="A5" s="31" t="s">
        <v>209</v>
      </c>
      <c r="B5" s="31" t="s">
        <v>569</v>
      </c>
      <c r="C5" s="31" t="s">
        <v>211</v>
      </c>
      <c r="D5" s="32">
        <v>0</v>
      </c>
      <c r="E5" s="32">
        <v>30</v>
      </c>
      <c r="F5" s="32">
        <v>1</v>
      </c>
      <c r="G5" s="32">
        <v>10</v>
      </c>
      <c r="H5" s="32">
        <v>25</v>
      </c>
      <c r="I5" s="32"/>
      <c r="J5" s="32"/>
      <c r="K5" s="32">
        <v>0.65</v>
      </c>
    </row>
    <row r="6" spans="1:11" x14ac:dyDescent="0.25">
      <c r="A6" s="39" t="s">
        <v>585</v>
      </c>
      <c r="B6" s="31" t="s">
        <v>586</v>
      </c>
      <c r="C6" s="31" t="s">
        <v>219</v>
      </c>
      <c r="D6" s="32">
        <v>0</v>
      </c>
      <c r="E6" s="32">
        <v>30</v>
      </c>
      <c r="F6" s="32">
        <v>1</v>
      </c>
      <c r="G6" s="32">
        <v>45</v>
      </c>
      <c r="H6" s="32">
        <v>25</v>
      </c>
      <c r="I6" s="32"/>
      <c r="J6" s="32"/>
      <c r="K6" s="32">
        <v>0.65</v>
      </c>
    </row>
    <row r="7" spans="1:11" x14ac:dyDescent="0.25">
      <c r="A7" s="31"/>
      <c r="B7" s="31"/>
      <c r="C7" s="31"/>
      <c r="D7" s="32"/>
      <c r="E7" s="32"/>
      <c r="F7" s="32"/>
      <c r="G7" s="32"/>
      <c r="H7" s="32"/>
      <c r="I7" s="32"/>
      <c r="J7" s="32"/>
      <c r="K7" s="32"/>
    </row>
    <row r="8" spans="1:11" x14ac:dyDescent="0.25">
      <c r="A8" s="31"/>
      <c r="B8" s="31"/>
      <c r="C8" s="31"/>
      <c r="D8" s="32"/>
      <c r="E8" s="32"/>
      <c r="F8" s="32"/>
      <c r="G8" s="32"/>
      <c r="H8" s="32"/>
      <c r="I8" s="32"/>
      <c r="J8" s="32"/>
      <c r="K8" s="32"/>
    </row>
    <row r="9" spans="1:11" x14ac:dyDescent="0.25">
      <c r="A9" s="31"/>
      <c r="B9" s="31"/>
      <c r="C9" s="31"/>
      <c r="D9" s="32"/>
      <c r="E9" s="32"/>
      <c r="F9" s="32"/>
      <c r="G9" s="32"/>
      <c r="H9" s="32"/>
      <c r="I9" s="32"/>
      <c r="J9" s="32"/>
      <c r="K9" s="32"/>
    </row>
    <row r="10" spans="1:11" x14ac:dyDescent="0.25">
      <c r="A10" s="31"/>
      <c r="B10" s="31"/>
      <c r="C10" s="31"/>
      <c r="D10" s="32"/>
      <c r="E10" s="32"/>
      <c r="F10" s="32"/>
      <c r="G10" s="32"/>
      <c r="H10" s="32"/>
      <c r="I10" s="32"/>
      <c r="J10" s="32"/>
      <c r="K10" s="32"/>
    </row>
    <row r="11" spans="1:11" x14ac:dyDescent="0.25">
      <c r="F11" s="30"/>
      <c r="G11" s="30"/>
      <c r="H11" s="30"/>
      <c r="I11" s="30"/>
      <c r="J11" s="30"/>
      <c r="K11" s="30"/>
    </row>
    <row r="12" spans="1:11" x14ac:dyDescent="0.25">
      <c r="F12" s="30"/>
      <c r="G12" s="30"/>
      <c r="H12" s="30"/>
      <c r="I12" s="30"/>
      <c r="J12" s="30"/>
      <c r="K12" s="30"/>
    </row>
    <row r="20" spans="1:16" x14ac:dyDescent="0.25">
      <c r="A20" s="28"/>
    </row>
    <row r="21" spans="1:16" x14ac:dyDescent="0.25">
      <c r="A21" s="28"/>
      <c r="P21" s="28"/>
    </row>
    <row r="22" spans="1:16" x14ac:dyDescent="0.25">
      <c r="A22" s="28"/>
      <c r="P22" s="28"/>
    </row>
    <row r="23" spans="1:16" x14ac:dyDescent="0.25">
      <c r="A23" s="28"/>
      <c r="P23" s="28"/>
    </row>
    <row r="24" spans="1:16" x14ac:dyDescent="0.25">
      <c r="A24" s="28"/>
      <c r="P24" s="28"/>
    </row>
    <row r="25" spans="1:16" x14ac:dyDescent="0.25">
      <c r="A25" s="28"/>
      <c r="P25" s="28"/>
    </row>
    <row r="26" spans="1:16" x14ac:dyDescent="0.25">
      <c r="A26" s="28"/>
    </row>
    <row r="27" spans="1:16" x14ac:dyDescent="0.25">
      <c r="A27" s="28"/>
    </row>
    <row r="28" spans="1:16" x14ac:dyDescent="0.25">
      <c r="A28" s="28"/>
    </row>
    <row r="30" spans="1:16" x14ac:dyDescent="0.25">
      <c r="A30" s="28"/>
    </row>
  </sheetData>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6"/>
  <dimension ref="A1:U30"/>
  <sheetViews>
    <sheetView workbookViewId="0">
      <selection activeCell="D11" sqref="D11"/>
    </sheetView>
  </sheetViews>
  <sheetFormatPr defaultColWidth="9.140625" defaultRowHeight="15" x14ac:dyDescent="0.25"/>
  <cols>
    <col min="1" max="1" width="11.28515625" style="26" bestFit="1" customWidth="1"/>
    <col min="2" max="2" width="10.85546875" style="26" bestFit="1" customWidth="1"/>
    <col min="3" max="3" width="11" style="26" bestFit="1" customWidth="1"/>
    <col min="4" max="4" width="61.7109375" style="26" bestFit="1" customWidth="1"/>
    <col min="5" max="5" width="8.7109375" style="26" bestFit="1" customWidth="1"/>
    <col min="6" max="6" width="10.140625" style="26" bestFit="1" customWidth="1"/>
    <col min="7" max="7" width="56.85546875" style="26" bestFit="1" customWidth="1"/>
    <col min="8" max="8" width="7.5703125" style="26" bestFit="1" customWidth="1"/>
    <col min="9" max="9" width="10.7109375" style="26" bestFit="1" customWidth="1"/>
    <col min="10" max="10" width="7.5703125" style="26" bestFit="1" customWidth="1"/>
    <col min="11" max="11" width="86.85546875" style="26" bestFit="1" customWidth="1"/>
    <col min="12" max="12" width="11.85546875" style="26" bestFit="1" customWidth="1"/>
    <col min="13" max="13" width="84.42578125" style="26" customWidth="1"/>
    <col min="14" max="15" width="20.28515625" style="26" customWidth="1"/>
    <col min="16" max="16" width="23.28515625" style="26" customWidth="1"/>
    <col min="17" max="16384" width="9.140625" style="26"/>
  </cols>
  <sheetData>
    <row r="1" spans="1:13" x14ac:dyDescent="0.25">
      <c r="A1" s="36" t="s">
        <v>570</v>
      </c>
      <c r="B1" s="36" t="s">
        <v>571</v>
      </c>
      <c r="C1" s="36" t="s">
        <v>572</v>
      </c>
      <c r="D1" s="36" t="s">
        <v>573</v>
      </c>
      <c r="E1" s="36" t="s">
        <v>574</v>
      </c>
      <c r="F1" s="36" t="s">
        <v>575</v>
      </c>
      <c r="G1" s="36" t="s">
        <v>576</v>
      </c>
      <c r="H1" s="36" t="s">
        <v>577</v>
      </c>
      <c r="I1" s="36" t="s">
        <v>578</v>
      </c>
      <c r="J1" s="36" t="s">
        <v>579</v>
      </c>
      <c r="K1" s="36" t="s">
        <v>580</v>
      </c>
      <c r="L1" s="36" t="s">
        <v>581</v>
      </c>
      <c r="M1" s="36" t="s">
        <v>582</v>
      </c>
    </row>
    <row r="2" spans="1:13" x14ac:dyDescent="0.25">
      <c r="A2" s="36"/>
      <c r="B2" s="36" t="s">
        <v>90</v>
      </c>
      <c r="C2" s="36" t="s">
        <v>90</v>
      </c>
      <c r="D2" s="36"/>
      <c r="E2" s="36" t="s">
        <v>21</v>
      </c>
      <c r="F2" s="36" t="s">
        <v>21</v>
      </c>
      <c r="G2" s="36"/>
      <c r="H2" s="36"/>
      <c r="I2" s="36"/>
      <c r="J2" s="36"/>
      <c r="K2" s="36"/>
      <c r="L2" s="36" t="s">
        <v>563</v>
      </c>
      <c r="M2" s="36"/>
    </row>
    <row r="3" spans="1:13" x14ac:dyDescent="0.25">
      <c r="A3" s="34"/>
      <c r="B3" s="34"/>
      <c r="C3" s="34"/>
      <c r="D3" s="35"/>
      <c r="E3" s="34"/>
      <c r="F3" s="34"/>
      <c r="G3" s="35"/>
      <c r="H3" s="34"/>
      <c r="I3" s="34"/>
      <c r="J3" s="34"/>
      <c r="K3" s="35"/>
      <c r="L3" s="34"/>
      <c r="M3" s="34"/>
    </row>
    <row r="4" spans="1:13" x14ac:dyDescent="0.25">
      <c r="A4" s="34"/>
      <c r="B4" s="34"/>
      <c r="C4" s="34"/>
      <c r="D4" s="35"/>
      <c r="E4" s="34"/>
      <c r="F4" s="34"/>
      <c r="G4" s="35"/>
      <c r="H4" s="34"/>
      <c r="I4" s="34"/>
      <c r="J4" s="34"/>
      <c r="K4" s="35"/>
      <c r="L4" s="34"/>
      <c r="M4" s="34"/>
    </row>
    <row r="5" spans="1:13" x14ac:dyDescent="0.25">
      <c r="A5" s="34"/>
      <c r="B5" s="34"/>
      <c r="C5" s="34"/>
      <c r="D5" s="35"/>
      <c r="E5" s="34"/>
      <c r="F5" s="34"/>
      <c r="G5" s="35"/>
      <c r="H5" s="34"/>
      <c r="I5" s="34"/>
      <c r="J5" s="34"/>
      <c r="K5" s="35"/>
      <c r="L5" s="34"/>
      <c r="M5" s="34"/>
    </row>
    <row r="6" spans="1:13" x14ac:dyDescent="0.25">
      <c r="A6" s="34"/>
      <c r="B6" s="34"/>
      <c r="C6" s="34"/>
      <c r="D6" s="35"/>
      <c r="E6" s="34"/>
      <c r="F6" s="34"/>
      <c r="G6" s="35"/>
      <c r="H6" s="34"/>
      <c r="I6" s="34"/>
      <c r="J6" s="34"/>
      <c r="K6" s="35"/>
      <c r="L6" s="34"/>
      <c r="M6" s="34"/>
    </row>
    <row r="7" spans="1:13" x14ac:dyDescent="0.25">
      <c r="A7" s="34"/>
      <c r="B7" s="34"/>
      <c r="C7" s="34"/>
      <c r="D7" s="35"/>
      <c r="E7" s="34"/>
      <c r="F7" s="34"/>
      <c r="G7" s="35"/>
      <c r="H7" s="34"/>
      <c r="I7" s="34"/>
      <c r="J7" s="34"/>
      <c r="K7" s="35"/>
      <c r="L7" s="34"/>
      <c r="M7" s="34"/>
    </row>
    <row r="8" spans="1:13" x14ac:dyDescent="0.25">
      <c r="A8" s="34"/>
      <c r="B8" s="34"/>
      <c r="C8" s="34"/>
      <c r="D8" s="35"/>
      <c r="E8" s="34"/>
      <c r="F8" s="34"/>
      <c r="G8" s="35"/>
      <c r="H8" s="34"/>
      <c r="I8" s="34"/>
      <c r="J8" s="34"/>
      <c r="K8" s="35"/>
      <c r="L8" s="34"/>
      <c r="M8" s="34"/>
    </row>
    <row r="9" spans="1:13" x14ac:dyDescent="0.25">
      <c r="A9" s="34"/>
      <c r="B9" s="34"/>
      <c r="C9" s="34"/>
      <c r="D9" s="35"/>
      <c r="E9" s="34"/>
      <c r="F9" s="34"/>
      <c r="G9" s="35"/>
      <c r="H9" s="34"/>
      <c r="I9" s="34"/>
      <c r="J9" s="34"/>
      <c r="K9" s="35"/>
      <c r="L9" s="34"/>
      <c r="M9" s="34"/>
    </row>
    <row r="10" spans="1:13" x14ac:dyDescent="0.25">
      <c r="A10" s="34"/>
      <c r="B10" s="34"/>
      <c r="C10" s="34"/>
      <c r="D10" s="35"/>
      <c r="E10" s="34"/>
      <c r="F10" s="34"/>
      <c r="G10" s="35"/>
      <c r="H10" s="34"/>
      <c r="I10" s="34"/>
      <c r="J10" s="34"/>
      <c r="K10" s="35"/>
      <c r="L10" s="34"/>
      <c r="M10" s="34"/>
    </row>
    <row r="20" spans="2:21" x14ac:dyDescent="0.25">
      <c r="B20" s="28"/>
      <c r="C20" s="28"/>
      <c r="D20" s="28"/>
    </row>
    <row r="21" spans="2:21" x14ac:dyDescent="0.25">
      <c r="B21" s="28"/>
      <c r="C21" s="28"/>
      <c r="D21" s="28"/>
      <c r="U21" s="28"/>
    </row>
    <row r="22" spans="2:21" x14ac:dyDescent="0.25">
      <c r="B22" s="28"/>
      <c r="C22" s="28"/>
      <c r="D22" s="28"/>
      <c r="U22" s="28"/>
    </row>
    <row r="23" spans="2:21" x14ac:dyDescent="0.25">
      <c r="B23" s="28"/>
      <c r="C23" s="28"/>
      <c r="D23" s="28"/>
      <c r="U23" s="28"/>
    </row>
    <row r="24" spans="2:21" x14ac:dyDescent="0.25">
      <c r="B24" s="28"/>
      <c r="C24" s="28"/>
      <c r="D24" s="28"/>
      <c r="U24" s="28"/>
    </row>
    <row r="25" spans="2:21" x14ac:dyDescent="0.25">
      <c r="B25" s="28"/>
      <c r="C25" s="28"/>
      <c r="D25" s="28"/>
      <c r="U25" s="28"/>
    </row>
    <row r="26" spans="2:21" x14ac:dyDescent="0.25">
      <c r="B26" s="28"/>
      <c r="C26" s="28"/>
      <c r="D26" s="28"/>
    </row>
    <row r="27" spans="2:21" x14ac:dyDescent="0.25">
      <c r="B27" s="28"/>
      <c r="C27" s="28"/>
      <c r="D27" s="28"/>
    </row>
    <row r="28" spans="2:21" x14ac:dyDescent="0.25">
      <c r="C28" s="28"/>
      <c r="D28" s="28"/>
    </row>
    <row r="30" spans="2:21" x14ac:dyDescent="0.25">
      <c r="C30" s="28"/>
      <c r="D30" s="28"/>
    </row>
  </sheetData>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dimension ref="A1:AD20"/>
  <sheetViews>
    <sheetView topLeftCell="F1" workbookViewId="0">
      <selection activeCell="P3" sqref="P3"/>
    </sheetView>
  </sheetViews>
  <sheetFormatPr defaultRowHeight="15" x14ac:dyDescent="0.25"/>
  <cols>
    <col min="1" max="1" width="17.28515625" bestFit="1" customWidth="1"/>
    <col min="2" max="2" width="17.42578125" bestFit="1" customWidth="1"/>
    <col min="3" max="3" width="13.5703125" style="11" customWidth="1"/>
    <col min="4" max="4" width="15.140625" customWidth="1"/>
    <col min="5" max="5" width="17.42578125" bestFit="1" customWidth="1"/>
    <col min="6" max="6" width="8.140625" bestFit="1" customWidth="1"/>
    <col min="7" max="7" width="9" customWidth="1"/>
    <col min="8" max="8" width="9" bestFit="1" customWidth="1"/>
    <col min="9" max="10" width="8.5703125" bestFit="1" customWidth="1"/>
    <col min="11" max="12" width="8.42578125" bestFit="1" customWidth="1"/>
    <col min="13" max="13" width="15.7109375" bestFit="1" customWidth="1"/>
    <col min="14" max="14" width="6.42578125" bestFit="1" customWidth="1"/>
    <col min="15" max="15" width="16.42578125" bestFit="1" customWidth="1"/>
    <col min="16" max="16" width="10.5703125" bestFit="1" customWidth="1"/>
    <col min="17" max="17" width="7" customWidth="1"/>
    <col min="18" max="18" width="6.42578125" customWidth="1"/>
    <col min="19" max="19" width="6.7109375" bestFit="1" customWidth="1"/>
    <col min="20" max="20" width="17.7109375" bestFit="1" customWidth="1"/>
    <col min="21" max="21" width="17" bestFit="1" customWidth="1"/>
    <col min="22" max="22" width="16.140625" bestFit="1" customWidth="1"/>
    <col min="23" max="23" width="8.140625" customWidth="1"/>
    <col min="24" max="24" width="10" style="11" bestFit="1" customWidth="1"/>
    <col min="25" max="25" width="10" bestFit="1" customWidth="1"/>
    <col min="26" max="26" width="15" customWidth="1"/>
    <col min="27" max="27" width="8.140625" bestFit="1" customWidth="1"/>
    <col min="28" max="28" width="10" style="11" bestFit="1" customWidth="1"/>
    <col min="29" max="29" width="10" bestFit="1" customWidth="1"/>
    <col min="30" max="30" width="8.28515625" bestFit="1" customWidth="1"/>
  </cols>
  <sheetData>
    <row r="1" spans="1:30" x14ac:dyDescent="0.25">
      <c r="A1" s="18" t="s">
        <v>53</v>
      </c>
      <c r="B1" s="18" t="s">
        <v>54</v>
      </c>
      <c r="C1" s="19" t="s">
        <v>438</v>
      </c>
      <c r="D1" s="18" t="s">
        <v>230</v>
      </c>
      <c r="E1" s="18" t="s">
        <v>63</v>
      </c>
      <c r="F1" s="18" t="s">
        <v>439</v>
      </c>
      <c r="G1" s="18" t="s">
        <v>249</v>
      </c>
      <c r="H1" s="18" t="s">
        <v>250</v>
      </c>
      <c r="I1" s="18" t="s">
        <v>440</v>
      </c>
      <c r="J1" s="18" t="s">
        <v>441</v>
      </c>
      <c r="K1" s="18" t="s">
        <v>442</v>
      </c>
      <c r="L1" s="18" t="s">
        <v>443</v>
      </c>
      <c r="M1" s="18" t="s">
        <v>61</v>
      </c>
      <c r="N1" s="18" t="s">
        <v>444</v>
      </c>
      <c r="O1" s="18" t="s">
        <v>445</v>
      </c>
      <c r="P1" s="18" t="s">
        <v>446</v>
      </c>
      <c r="Q1" s="18" t="s">
        <v>66</v>
      </c>
      <c r="R1" s="18" t="s">
        <v>447</v>
      </c>
      <c r="S1" s="18" t="s">
        <v>69</v>
      </c>
      <c r="T1" s="18" t="s">
        <v>448</v>
      </c>
      <c r="U1" s="18" t="s">
        <v>449</v>
      </c>
      <c r="V1" s="18" t="s">
        <v>71</v>
      </c>
      <c r="W1" s="18" t="s">
        <v>87</v>
      </c>
      <c r="X1" s="19" t="s">
        <v>255</v>
      </c>
      <c r="Y1" s="18" t="s">
        <v>450</v>
      </c>
      <c r="Z1" s="18" t="s">
        <v>76</v>
      </c>
      <c r="AA1" s="18" t="s">
        <v>74</v>
      </c>
      <c r="AB1" s="19" t="s">
        <v>75</v>
      </c>
      <c r="AC1" s="18" t="s">
        <v>451</v>
      </c>
      <c r="AD1" s="18" t="s">
        <v>83</v>
      </c>
    </row>
    <row r="2" spans="1:30" x14ac:dyDescent="0.25">
      <c r="A2" s="18" t="s">
        <v>89</v>
      </c>
      <c r="B2" s="18" t="s">
        <v>89</v>
      </c>
      <c r="C2" s="19"/>
      <c r="D2" s="18" t="s">
        <v>89</v>
      </c>
      <c r="E2" s="18" t="s">
        <v>89</v>
      </c>
      <c r="F2" s="18"/>
      <c r="G2" s="18" t="s">
        <v>452</v>
      </c>
      <c r="H2" s="18" t="s">
        <v>452</v>
      </c>
      <c r="I2" s="18" t="s">
        <v>453</v>
      </c>
      <c r="J2" s="18" t="s">
        <v>453</v>
      </c>
      <c r="K2" s="18" t="s">
        <v>453</v>
      </c>
      <c r="L2" s="18" t="s">
        <v>453</v>
      </c>
      <c r="M2" s="18"/>
      <c r="N2" s="18" t="s">
        <v>453</v>
      </c>
      <c r="O2" s="18"/>
      <c r="P2" s="18"/>
      <c r="Q2" s="18" t="s">
        <v>179</v>
      </c>
      <c r="R2" s="18" t="s">
        <v>179</v>
      </c>
      <c r="S2" s="18"/>
      <c r="T2" s="18"/>
      <c r="U2" s="18"/>
      <c r="V2" s="18"/>
      <c r="W2" s="18" t="s">
        <v>40</v>
      </c>
      <c r="X2" s="19"/>
      <c r="Y2" s="18"/>
      <c r="Z2" s="18"/>
      <c r="AA2" s="18" t="s">
        <v>40</v>
      </c>
      <c r="AB2" s="19"/>
      <c r="AC2" s="18"/>
      <c r="AD2" s="18" t="s">
        <v>179</v>
      </c>
    </row>
    <row r="3" spans="1:30" x14ac:dyDescent="0.25">
      <c r="A3" s="20" t="s">
        <v>92</v>
      </c>
      <c r="B3" s="20" t="s">
        <v>134</v>
      </c>
      <c r="C3" s="21" t="s">
        <v>454</v>
      </c>
      <c r="D3" s="20" t="s">
        <v>455</v>
      </c>
      <c r="E3" s="20" t="s">
        <v>456</v>
      </c>
      <c r="F3" s="20">
        <v>0.7</v>
      </c>
      <c r="G3" s="20">
        <v>17500</v>
      </c>
      <c r="H3" s="20">
        <v>0</v>
      </c>
      <c r="I3" s="20">
        <v>8000</v>
      </c>
      <c r="J3">
        <v>0</v>
      </c>
      <c r="K3">
        <v>8000</v>
      </c>
      <c r="L3">
        <v>1000</v>
      </c>
      <c r="M3" t="s">
        <v>94</v>
      </c>
      <c r="N3">
        <v>1000</v>
      </c>
      <c r="O3" t="s">
        <v>532</v>
      </c>
      <c r="P3" t="s">
        <v>533</v>
      </c>
      <c r="Q3">
        <v>5.25</v>
      </c>
      <c r="R3">
        <v>9.5</v>
      </c>
      <c r="S3">
        <v>1</v>
      </c>
      <c r="T3" t="s">
        <v>459</v>
      </c>
      <c r="U3" t="s">
        <v>460</v>
      </c>
      <c r="V3">
        <v>0</v>
      </c>
      <c r="W3">
        <v>12</v>
      </c>
      <c r="X3">
        <v>1.63</v>
      </c>
      <c r="Y3">
        <v>1</v>
      </c>
      <c r="Z3">
        <v>0</v>
      </c>
      <c r="AA3">
        <v>6</v>
      </c>
      <c r="AB3">
        <v>1.63</v>
      </c>
      <c r="AC3">
        <v>1</v>
      </c>
      <c r="AD3">
        <v>4</v>
      </c>
    </row>
    <row r="4" spans="1:30" x14ac:dyDescent="0.25">
      <c r="A4" s="20" t="s">
        <v>92</v>
      </c>
      <c r="B4" s="20" t="s">
        <v>134</v>
      </c>
      <c r="C4" s="21" t="s">
        <v>454</v>
      </c>
      <c r="D4" s="20" t="s">
        <v>237</v>
      </c>
      <c r="E4" s="20" t="s">
        <v>515</v>
      </c>
      <c r="F4" s="20">
        <v>0.8</v>
      </c>
      <c r="G4" s="20">
        <v>0</v>
      </c>
      <c r="H4" s="20">
        <v>2500</v>
      </c>
      <c r="I4" s="20">
        <v>0</v>
      </c>
      <c r="J4">
        <v>2500</v>
      </c>
      <c r="K4">
        <v>0</v>
      </c>
      <c r="L4">
        <v>2500</v>
      </c>
      <c r="M4" t="s">
        <v>48</v>
      </c>
      <c r="N4">
        <v>0</v>
      </c>
      <c r="O4" t="s">
        <v>534</v>
      </c>
      <c r="P4" t="s">
        <v>535</v>
      </c>
      <c r="Q4">
        <v>2.6875000000000004</v>
      </c>
      <c r="R4">
        <v>7.2499999999999991</v>
      </c>
      <c r="S4">
        <v>1</v>
      </c>
      <c r="T4" t="s">
        <v>459</v>
      </c>
      <c r="U4" t="s">
        <v>460</v>
      </c>
      <c r="V4">
        <v>0</v>
      </c>
      <c r="W4">
        <v>18</v>
      </c>
      <c r="X4">
        <v>1.63</v>
      </c>
      <c r="Y4">
        <v>1</v>
      </c>
      <c r="Z4">
        <v>1</v>
      </c>
      <c r="AA4">
        <v>0</v>
      </c>
      <c r="AB4">
        <v>1.63</v>
      </c>
      <c r="AC4">
        <v>1</v>
      </c>
      <c r="AD4">
        <v>4</v>
      </c>
    </row>
    <row r="5" spans="1:30" x14ac:dyDescent="0.25">
      <c r="A5" s="20" t="s">
        <v>92</v>
      </c>
      <c r="B5" s="20" t="s">
        <v>134</v>
      </c>
      <c r="C5" s="21" t="s">
        <v>454</v>
      </c>
      <c r="D5" s="20" t="s">
        <v>455</v>
      </c>
      <c r="E5" s="20" t="s">
        <v>516</v>
      </c>
      <c r="F5" s="20">
        <v>0.7</v>
      </c>
      <c r="G5" s="20">
        <v>15000</v>
      </c>
      <c r="H5" s="20">
        <v>0</v>
      </c>
      <c r="I5" s="20">
        <v>1500</v>
      </c>
      <c r="J5">
        <v>0</v>
      </c>
      <c r="K5">
        <v>1500</v>
      </c>
      <c r="L5">
        <v>0</v>
      </c>
      <c r="M5" t="s">
        <v>98</v>
      </c>
      <c r="N5">
        <v>500</v>
      </c>
      <c r="O5" t="s">
        <v>457</v>
      </c>
      <c r="P5" t="s">
        <v>458</v>
      </c>
      <c r="Q5">
        <v>3.5</v>
      </c>
      <c r="R5">
        <v>8.625</v>
      </c>
      <c r="S5">
        <v>1</v>
      </c>
      <c r="T5" t="s">
        <v>459</v>
      </c>
      <c r="U5" t="s">
        <v>460</v>
      </c>
      <c r="V5">
        <v>0</v>
      </c>
      <c r="W5">
        <v>12</v>
      </c>
      <c r="X5">
        <v>1.63</v>
      </c>
      <c r="Y5">
        <v>1</v>
      </c>
      <c r="Z5">
        <v>0</v>
      </c>
      <c r="AA5">
        <v>5</v>
      </c>
      <c r="AB5">
        <v>1.63</v>
      </c>
      <c r="AC5">
        <v>1</v>
      </c>
      <c r="AD5">
        <v>4</v>
      </c>
    </row>
    <row r="6" spans="1:30" x14ac:dyDescent="0.25">
      <c r="A6" s="20" t="s">
        <v>92</v>
      </c>
      <c r="B6" s="20" t="s">
        <v>134</v>
      </c>
      <c r="C6" s="21" t="s">
        <v>492</v>
      </c>
      <c r="D6" s="20" t="s">
        <v>237</v>
      </c>
      <c r="E6" s="20" t="s">
        <v>517</v>
      </c>
      <c r="F6" s="20">
        <v>0.7</v>
      </c>
      <c r="G6" s="20">
        <v>12500</v>
      </c>
      <c r="H6" s="20">
        <v>0</v>
      </c>
      <c r="I6" s="20">
        <v>8000</v>
      </c>
      <c r="J6">
        <v>0</v>
      </c>
      <c r="K6">
        <v>8000</v>
      </c>
      <c r="L6">
        <v>0</v>
      </c>
      <c r="M6" t="s">
        <v>48</v>
      </c>
      <c r="N6">
        <v>0</v>
      </c>
      <c r="O6" t="s">
        <v>457</v>
      </c>
      <c r="P6" t="s">
        <v>458</v>
      </c>
      <c r="Q6">
        <v>3.5</v>
      </c>
      <c r="R6">
        <v>8.625</v>
      </c>
      <c r="S6">
        <v>1</v>
      </c>
      <c r="T6" t="s">
        <v>459</v>
      </c>
      <c r="U6" t="s">
        <v>460</v>
      </c>
      <c r="V6">
        <v>1</v>
      </c>
      <c r="W6">
        <v>10</v>
      </c>
      <c r="X6">
        <v>1.63</v>
      </c>
      <c r="Y6">
        <v>1</v>
      </c>
      <c r="Z6">
        <v>0</v>
      </c>
      <c r="AA6">
        <v>4</v>
      </c>
      <c r="AB6">
        <v>1.63</v>
      </c>
      <c r="AC6">
        <v>1</v>
      </c>
      <c r="AD6">
        <v>4</v>
      </c>
    </row>
    <row r="7" spans="1:30" x14ac:dyDescent="0.25">
      <c r="A7" s="20" t="s">
        <v>92</v>
      </c>
      <c r="B7" s="20" t="s">
        <v>134</v>
      </c>
      <c r="C7" s="21" t="s">
        <v>492</v>
      </c>
      <c r="D7" s="20" t="s">
        <v>455</v>
      </c>
      <c r="E7" s="20" t="s">
        <v>518</v>
      </c>
      <c r="F7" s="20">
        <v>0.7</v>
      </c>
      <c r="G7" s="20">
        <v>12000</v>
      </c>
      <c r="H7" s="20">
        <v>0</v>
      </c>
      <c r="I7" s="20">
        <v>8500</v>
      </c>
      <c r="J7">
        <v>0</v>
      </c>
      <c r="K7">
        <v>8500</v>
      </c>
      <c r="L7">
        <v>0</v>
      </c>
      <c r="M7" t="s">
        <v>48</v>
      </c>
      <c r="N7">
        <v>0</v>
      </c>
      <c r="O7" t="s">
        <v>536</v>
      </c>
      <c r="P7" t="s">
        <v>458</v>
      </c>
      <c r="Q7">
        <v>3.5</v>
      </c>
      <c r="R7">
        <v>8.625</v>
      </c>
      <c r="S7">
        <v>1</v>
      </c>
      <c r="T7" t="s">
        <v>459</v>
      </c>
      <c r="U7" t="s">
        <v>460</v>
      </c>
      <c r="V7">
        <v>0</v>
      </c>
      <c r="W7">
        <v>12</v>
      </c>
      <c r="X7">
        <v>1.63</v>
      </c>
      <c r="Y7">
        <v>1</v>
      </c>
      <c r="Z7">
        <v>1</v>
      </c>
      <c r="AA7">
        <v>0</v>
      </c>
      <c r="AB7">
        <v>1.63</v>
      </c>
      <c r="AC7">
        <v>1</v>
      </c>
      <c r="AD7">
        <v>4</v>
      </c>
    </row>
    <row r="8" spans="1:30" x14ac:dyDescent="0.25">
      <c r="A8" s="20" t="s">
        <v>92</v>
      </c>
      <c r="B8" s="20" t="s">
        <v>134</v>
      </c>
      <c r="C8" s="21" t="s">
        <v>492</v>
      </c>
      <c r="D8" s="20" t="s">
        <v>237</v>
      </c>
      <c r="E8" s="20" t="s">
        <v>456</v>
      </c>
      <c r="F8" s="20">
        <v>0.8</v>
      </c>
      <c r="G8" s="20">
        <v>9500</v>
      </c>
      <c r="H8" s="20">
        <v>0</v>
      </c>
      <c r="I8" s="20">
        <v>6750</v>
      </c>
      <c r="J8">
        <v>0</v>
      </c>
      <c r="K8">
        <v>6750</v>
      </c>
      <c r="L8">
        <v>0</v>
      </c>
      <c r="M8" t="s">
        <v>98</v>
      </c>
      <c r="N8">
        <v>1000</v>
      </c>
      <c r="O8" t="s">
        <v>457</v>
      </c>
      <c r="P8" t="s">
        <v>458</v>
      </c>
      <c r="Q8">
        <v>3.5</v>
      </c>
      <c r="R8">
        <v>7.2499999999999991</v>
      </c>
      <c r="S8">
        <v>1</v>
      </c>
      <c r="T8" t="s">
        <v>459</v>
      </c>
      <c r="U8" t="s">
        <v>460</v>
      </c>
      <c r="V8">
        <v>0</v>
      </c>
      <c r="W8">
        <v>12</v>
      </c>
      <c r="X8">
        <v>1.63</v>
      </c>
      <c r="Y8">
        <v>1</v>
      </c>
      <c r="Z8">
        <v>0</v>
      </c>
      <c r="AA8">
        <v>12</v>
      </c>
      <c r="AB8">
        <v>1.63</v>
      </c>
      <c r="AC8">
        <v>1</v>
      </c>
      <c r="AD8">
        <v>4</v>
      </c>
    </row>
    <row r="9" spans="1:30" x14ac:dyDescent="0.25">
      <c r="A9" s="20" t="s">
        <v>92</v>
      </c>
      <c r="B9" s="20" t="s">
        <v>134</v>
      </c>
      <c r="C9" s="21" t="s">
        <v>519</v>
      </c>
      <c r="D9" s="20" t="s">
        <v>455</v>
      </c>
      <c r="E9" s="20" t="s">
        <v>515</v>
      </c>
      <c r="F9" s="20">
        <v>0.7</v>
      </c>
      <c r="G9" s="20">
        <v>0</v>
      </c>
      <c r="H9" s="20">
        <v>5000</v>
      </c>
      <c r="I9" s="20">
        <v>0</v>
      </c>
      <c r="J9">
        <v>1000</v>
      </c>
      <c r="K9">
        <v>0</v>
      </c>
      <c r="L9">
        <v>0</v>
      </c>
      <c r="M9" t="s">
        <v>48</v>
      </c>
      <c r="N9">
        <v>0</v>
      </c>
      <c r="O9" t="s">
        <v>534</v>
      </c>
      <c r="P9" t="s">
        <v>458</v>
      </c>
      <c r="Q9">
        <v>3.5</v>
      </c>
      <c r="R9">
        <v>9.5</v>
      </c>
      <c r="S9">
        <v>1</v>
      </c>
      <c r="T9" t="s">
        <v>459</v>
      </c>
      <c r="U9" t="s">
        <v>460</v>
      </c>
      <c r="V9">
        <v>0</v>
      </c>
      <c r="W9">
        <v>15.5</v>
      </c>
      <c r="X9">
        <v>1.63</v>
      </c>
      <c r="Y9">
        <v>1</v>
      </c>
      <c r="Z9">
        <v>0</v>
      </c>
      <c r="AA9">
        <v>8</v>
      </c>
      <c r="AB9">
        <v>1.63</v>
      </c>
      <c r="AC9">
        <v>1</v>
      </c>
      <c r="AD9">
        <v>4</v>
      </c>
    </row>
    <row r="10" spans="1:30" x14ac:dyDescent="0.25">
      <c r="A10" s="20" t="s">
        <v>92</v>
      </c>
      <c r="B10" s="20" t="s">
        <v>134</v>
      </c>
      <c r="C10" s="21" t="s">
        <v>519</v>
      </c>
      <c r="D10" s="20" t="s">
        <v>237</v>
      </c>
      <c r="E10" s="20" t="s">
        <v>516</v>
      </c>
      <c r="F10" s="20">
        <v>0.8</v>
      </c>
      <c r="G10" s="20">
        <v>5500</v>
      </c>
      <c r="H10" s="20">
        <v>0</v>
      </c>
      <c r="I10" s="20">
        <v>8500</v>
      </c>
      <c r="J10">
        <v>0</v>
      </c>
      <c r="K10">
        <v>8500</v>
      </c>
      <c r="L10">
        <v>2500</v>
      </c>
      <c r="M10" t="s">
        <v>94</v>
      </c>
      <c r="N10">
        <v>2500</v>
      </c>
      <c r="O10" t="s">
        <v>457</v>
      </c>
      <c r="P10" t="s">
        <v>458</v>
      </c>
      <c r="Q10">
        <v>5</v>
      </c>
      <c r="R10">
        <v>8.25</v>
      </c>
      <c r="S10">
        <v>1</v>
      </c>
      <c r="T10" t="s">
        <v>459</v>
      </c>
      <c r="U10" t="s">
        <v>460</v>
      </c>
      <c r="V10">
        <v>0</v>
      </c>
      <c r="W10">
        <v>12</v>
      </c>
      <c r="X10">
        <v>1.63</v>
      </c>
      <c r="Y10">
        <v>1</v>
      </c>
      <c r="Z10">
        <v>1</v>
      </c>
      <c r="AA10">
        <v>0</v>
      </c>
      <c r="AB10">
        <v>1.63</v>
      </c>
      <c r="AC10">
        <v>1</v>
      </c>
      <c r="AD10">
        <v>4</v>
      </c>
    </row>
    <row r="11" spans="1:30" x14ac:dyDescent="0.25">
      <c r="A11" s="20" t="s">
        <v>92</v>
      </c>
      <c r="B11" s="20" t="s">
        <v>134</v>
      </c>
      <c r="C11" s="21" t="s">
        <v>520</v>
      </c>
      <c r="D11" s="20" t="s">
        <v>455</v>
      </c>
      <c r="E11" s="20" t="s">
        <v>517</v>
      </c>
      <c r="F11" s="20">
        <v>0.7</v>
      </c>
      <c r="G11" s="20">
        <v>7500</v>
      </c>
      <c r="H11" s="20">
        <v>0</v>
      </c>
      <c r="I11" s="20">
        <v>1250</v>
      </c>
      <c r="J11">
        <v>0</v>
      </c>
      <c r="K11">
        <v>1250</v>
      </c>
      <c r="L11">
        <v>0</v>
      </c>
      <c r="M11" t="s">
        <v>48</v>
      </c>
      <c r="N11">
        <v>0</v>
      </c>
      <c r="O11" t="s">
        <v>537</v>
      </c>
      <c r="P11" t="s">
        <v>538</v>
      </c>
      <c r="Q11">
        <v>3.5</v>
      </c>
      <c r="R11">
        <v>8.625</v>
      </c>
      <c r="S11">
        <v>1</v>
      </c>
      <c r="T11" t="s">
        <v>459</v>
      </c>
      <c r="U11" t="s">
        <v>460</v>
      </c>
      <c r="V11">
        <v>0</v>
      </c>
      <c r="W11">
        <v>8</v>
      </c>
      <c r="X11">
        <v>1.63</v>
      </c>
      <c r="Y11">
        <v>1</v>
      </c>
      <c r="Z11">
        <v>0</v>
      </c>
      <c r="AA11">
        <v>4</v>
      </c>
      <c r="AB11">
        <v>1.63</v>
      </c>
      <c r="AC11">
        <v>1</v>
      </c>
      <c r="AD11">
        <v>4</v>
      </c>
    </row>
    <row r="12" spans="1:30" x14ac:dyDescent="0.25">
      <c r="A12" s="20" t="s">
        <v>92</v>
      </c>
      <c r="B12" s="20" t="s">
        <v>134</v>
      </c>
      <c r="C12" s="21" t="s">
        <v>520</v>
      </c>
      <c r="D12" s="20" t="s">
        <v>237</v>
      </c>
      <c r="E12" s="20" t="s">
        <v>518</v>
      </c>
      <c r="F12" s="20">
        <v>0.7</v>
      </c>
      <c r="G12" s="20">
        <v>0</v>
      </c>
      <c r="H12" s="20">
        <v>5000</v>
      </c>
      <c r="I12" s="20">
        <v>0</v>
      </c>
      <c r="J12">
        <v>1250</v>
      </c>
      <c r="K12">
        <v>0</v>
      </c>
      <c r="L12">
        <v>10000</v>
      </c>
      <c r="M12" t="s">
        <v>94</v>
      </c>
      <c r="N12">
        <v>10000</v>
      </c>
      <c r="O12" t="s">
        <v>539</v>
      </c>
      <c r="P12" t="s">
        <v>458</v>
      </c>
      <c r="Q12">
        <v>3.5</v>
      </c>
      <c r="R12">
        <v>8.625</v>
      </c>
      <c r="S12">
        <v>1</v>
      </c>
      <c r="T12" t="s">
        <v>459</v>
      </c>
      <c r="U12" t="s">
        <v>460</v>
      </c>
      <c r="V12">
        <v>0</v>
      </c>
      <c r="W12">
        <v>12</v>
      </c>
      <c r="X12">
        <v>1.63</v>
      </c>
      <c r="Y12">
        <v>1</v>
      </c>
      <c r="Z12">
        <v>0</v>
      </c>
      <c r="AA12">
        <v>6</v>
      </c>
      <c r="AB12">
        <v>1.63</v>
      </c>
      <c r="AC12">
        <v>1</v>
      </c>
      <c r="AD12">
        <v>4</v>
      </c>
    </row>
    <row r="16" spans="1:30" x14ac:dyDescent="0.25">
      <c r="B16" s="4"/>
      <c r="C16" s="16"/>
      <c r="D16" s="4"/>
      <c r="F16" s="4"/>
    </row>
    <row r="17" spans="2:6" x14ac:dyDescent="0.25">
      <c r="B17" s="11"/>
      <c r="D17" s="11"/>
      <c r="F17" s="11"/>
    </row>
    <row r="20" spans="2:6" x14ac:dyDescent="0.25">
      <c r="B20" s="4"/>
      <c r="C20" s="16"/>
      <c r="D20" s="4"/>
      <c r="F20" s="4"/>
    </row>
  </sheetData>
  <pageMargins left="0.7" right="0.7" top="0.75" bottom="0.75" header="0.3" footer="0.3"/>
  <pageSetup paperSize="9" orientation="portrait" r:id="rId1"/>
  <ignoredErrors>
    <ignoredError sqref="C3:C12" numberStoredAsText="1"/>
  </ignoredError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0"/>
  <dimension ref="A1:Y2"/>
  <sheetViews>
    <sheetView topLeftCell="D1" workbookViewId="0">
      <selection activeCell="E16" sqref="E16"/>
    </sheetView>
  </sheetViews>
  <sheetFormatPr defaultRowHeight="15" x14ac:dyDescent="0.25"/>
  <cols>
    <col min="1" max="2" width="12" bestFit="1" customWidth="1"/>
    <col min="3" max="3" width="9.5703125" style="17" bestFit="1" customWidth="1"/>
    <col min="4" max="5" width="10.42578125" style="17" bestFit="1" customWidth="1"/>
    <col min="6" max="6" width="9.42578125" style="17" customWidth="1"/>
    <col min="7" max="7" width="15.42578125" style="17" bestFit="1" customWidth="1"/>
    <col min="8" max="8" width="14.7109375" style="17" bestFit="1" customWidth="1"/>
    <col min="9" max="9" width="10.5703125" style="17" bestFit="1" customWidth="1"/>
    <col min="10" max="10" width="15.42578125" style="17" bestFit="1" customWidth="1"/>
    <col min="11" max="11" width="14.7109375" style="17" bestFit="1" customWidth="1"/>
    <col min="12" max="12" width="10.5703125" style="17" bestFit="1" customWidth="1"/>
    <col min="13" max="13" width="10.42578125" style="17" bestFit="1" customWidth="1"/>
    <col min="14" max="14" width="9.7109375" style="17" bestFit="1" customWidth="1"/>
    <col min="15" max="15" width="10.28515625" style="17" bestFit="1" customWidth="1"/>
    <col min="16" max="16" width="10.42578125" style="17" bestFit="1" customWidth="1"/>
    <col min="17" max="17" width="9.7109375" style="17" bestFit="1" customWidth="1"/>
    <col min="18" max="18" width="10.28515625" style="17" bestFit="1" customWidth="1"/>
    <col min="19" max="19" width="10.42578125" style="17" bestFit="1" customWidth="1"/>
    <col min="20" max="20" width="9.5703125" style="17" bestFit="1" customWidth="1"/>
    <col min="21" max="21" width="10.5703125" style="17" bestFit="1" customWidth="1"/>
    <col min="22" max="22" width="10.42578125" style="17" bestFit="1" customWidth="1"/>
    <col min="23" max="23" width="9.5703125" style="17" bestFit="1" customWidth="1"/>
    <col min="24" max="24" width="10.5703125" style="17" bestFit="1" customWidth="1"/>
    <col min="25" max="25" width="11.28515625" style="17" bestFit="1" customWidth="1"/>
  </cols>
  <sheetData>
    <row r="1" spans="1:25" x14ac:dyDescent="0.25">
      <c r="A1" s="1" t="s">
        <v>461</v>
      </c>
      <c r="B1" s="1" t="s">
        <v>462</v>
      </c>
      <c r="C1" s="25" t="s">
        <v>463</v>
      </c>
      <c r="D1" s="25" t="s">
        <v>464</v>
      </c>
      <c r="E1" s="25" t="s">
        <v>465</v>
      </c>
      <c r="F1" s="25" t="s">
        <v>466</v>
      </c>
      <c r="G1" s="25" t="s">
        <v>467</v>
      </c>
      <c r="H1" s="25" t="s">
        <v>468</v>
      </c>
      <c r="I1" s="25" t="s">
        <v>469</v>
      </c>
      <c r="J1" s="25" t="s">
        <v>470</v>
      </c>
      <c r="K1" s="25" t="s">
        <v>471</v>
      </c>
      <c r="L1" s="25" t="s">
        <v>472</v>
      </c>
      <c r="M1" s="25" t="s">
        <v>473</v>
      </c>
      <c r="N1" s="25" t="s">
        <v>474</v>
      </c>
      <c r="O1" s="25" t="s">
        <v>475</v>
      </c>
      <c r="P1" s="25" t="s">
        <v>476</v>
      </c>
      <c r="Q1" s="25" t="s">
        <v>477</v>
      </c>
      <c r="R1" s="25" t="s">
        <v>478</v>
      </c>
      <c r="S1" s="25" t="s">
        <v>479</v>
      </c>
      <c r="T1" s="25" t="s">
        <v>480</v>
      </c>
      <c r="U1" s="25" t="s">
        <v>481</v>
      </c>
      <c r="V1" s="25" t="s">
        <v>482</v>
      </c>
      <c r="W1" s="25" t="s">
        <v>483</v>
      </c>
      <c r="X1" s="25" t="s">
        <v>484</v>
      </c>
      <c r="Y1" s="25" t="s">
        <v>485</v>
      </c>
    </row>
    <row r="2" spans="1:25" x14ac:dyDescent="0.25">
      <c r="A2" s="1" t="s">
        <v>486</v>
      </c>
      <c r="B2" s="1" t="s">
        <v>486</v>
      </c>
      <c r="C2" s="25"/>
      <c r="D2" s="25" t="s">
        <v>486</v>
      </c>
      <c r="E2" s="25" t="s">
        <v>486</v>
      </c>
      <c r="F2" s="25"/>
      <c r="G2" s="25" t="s">
        <v>486</v>
      </c>
      <c r="H2" s="25" t="s">
        <v>486</v>
      </c>
      <c r="I2" s="25"/>
      <c r="J2" s="25" t="s">
        <v>486</v>
      </c>
      <c r="K2" s="25" t="s">
        <v>486</v>
      </c>
      <c r="L2" s="25"/>
      <c r="M2" s="25" t="s">
        <v>486</v>
      </c>
      <c r="N2" s="25" t="s">
        <v>486</v>
      </c>
      <c r="O2" s="25"/>
      <c r="P2" s="25" t="s">
        <v>486</v>
      </c>
      <c r="Q2" s="25" t="s">
        <v>486</v>
      </c>
      <c r="R2" s="25"/>
      <c r="S2" s="25" t="s">
        <v>486</v>
      </c>
      <c r="T2" s="25" t="s">
        <v>486</v>
      </c>
      <c r="U2" s="25"/>
      <c r="V2" s="25" t="s">
        <v>486</v>
      </c>
      <c r="W2" s="25" t="s">
        <v>486</v>
      </c>
      <c r="X2" s="25"/>
      <c r="Y2" s="25"/>
    </row>
  </sheetData>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7"/>
  <dimension ref="A1:AG21"/>
  <sheetViews>
    <sheetView workbookViewId="0">
      <selection activeCell="F21" sqref="F21"/>
    </sheetView>
  </sheetViews>
  <sheetFormatPr defaultRowHeight="15" x14ac:dyDescent="0.25"/>
  <cols>
    <col min="1" max="1" width="17.28515625" bestFit="1" customWidth="1"/>
    <col min="2" max="2" width="17.42578125" bestFit="1" customWidth="1"/>
    <col min="3" max="3" width="13.5703125" style="11" customWidth="1"/>
    <col min="4" max="4" width="15.140625" customWidth="1"/>
    <col min="5" max="5" width="17.42578125" bestFit="1" customWidth="1"/>
    <col min="6" max="6" width="8.42578125" customWidth="1"/>
    <col min="7" max="8" width="9" customWidth="1"/>
    <col min="9" max="11" width="8.7109375" customWidth="1"/>
    <col min="12" max="13" width="8.85546875" customWidth="1"/>
    <col min="14" max="14" width="8.5703125" customWidth="1"/>
    <col min="15" max="15" width="15.7109375" bestFit="1" customWidth="1"/>
    <col min="16" max="16" width="7.140625" customWidth="1"/>
    <col min="17" max="17" width="10.5703125" style="11" bestFit="1" customWidth="1"/>
    <col min="18" max="18" width="7" customWidth="1"/>
    <col min="19" max="19" width="6.42578125" customWidth="1"/>
    <col min="20" max="20" width="6.7109375" bestFit="1" customWidth="1"/>
    <col min="21" max="21" width="12" customWidth="1"/>
    <col min="22" max="22" width="20.28515625" customWidth="1"/>
    <col min="23" max="23" width="17.140625" customWidth="1"/>
    <col min="24" max="24" width="16.140625" bestFit="1" customWidth="1"/>
    <col min="25" max="25" width="10.85546875" customWidth="1"/>
    <col min="26" max="26" width="8.140625" customWidth="1"/>
    <col min="27" max="27" width="10" style="11" bestFit="1" customWidth="1"/>
    <col min="28" max="28" width="10" bestFit="1" customWidth="1"/>
    <col min="29" max="29" width="15" customWidth="1"/>
    <col min="30" max="30" width="8.140625" bestFit="1" customWidth="1"/>
    <col min="31" max="31" width="10" style="11" bestFit="1" customWidth="1"/>
    <col min="32" max="32" width="10" bestFit="1" customWidth="1"/>
    <col min="33" max="33" width="8.28515625" bestFit="1" customWidth="1"/>
  </cols>
  <sheetData>
    <row r="1" spans="1:33" x14ac:dyDescent="0.25">
      <c r="A1" s="18" t="s">
        <v>53</v>
      </c>
      <c r="B1" s="18" t="s">
        <v>54</v>
      </c>
      <c r="C1" s="19" t="s">
        <v>438</v>
      </c>
      <c r="D1" s="18" t="s">
        <v>230</v>
      </c>
      <c r="E1" s="18" t="s">
        <v>63</v>
      </c>
      <c r="F1" s="18" t="s">
        <v>439</v>
      </c>
      <c r="G1" s="18" t="s">
        <v>249</v>
      </c>
      <c r="H1" s="18" t="s">
        <v>487</v>
      </c>
      <c r="I1" s="18" t="s">
        <v>250</v>
      </c>
      <c r="J1" s="18" t="s">
        <v>440</v>
      </c>
      <c r="K1" s="18" t="s">
        <v>441</v>
      </c>
      <c r="L1" s="18" t="s">
        <v>442</v>
      </c>
      <c r="M1" s="18" t="s">
        <v>488</v>
      </c>
      <c r="N1" s="18" t="s">
        <v>443</v>
      </c>
      <c r="O1" s="18" t="s">
        <v>61</v>
      </c>
      <c r="P1" s="18" t="s">
        <v>444</v>
      </c>
      <c r="Q1" s="19" t="s">
        <v>446</v>
      </c>
      <c r="R1" s="18" t="s">
        <v>66</v>
      </c>
      <c r="S1" s="18" t="s">
        <v>447</v>
      </c>
      <c r="T1" s="18" t="s">
        <v>69</v>
      </c>
      <c r="U1" s="18" t="s">
        <v>489</v>
      </c>
      <c r="V1" s="18" t="s">
        <v>490</v>
      </c>
      <c r="W1" s="18" t="s">
        <v>449</v>
      </c>
      <c r="X1" s="18" t="s">
        <v>71</v>
      </c>
      <c r="Y1" s="18" t="s">
        <v>491</v>
      </c>
      <c r="Z1" s="18" t="s">
        <v>87</v>
      </c>
      <c r="AA1" s="19" t="s">
        <v>255</v>
      </c>
      <c r="AB1" s="18" t="s">
        <v>450</v>
      </c>
      <c r="AC1" s="18" t="s">
        <v>76</v>
      </c>
      <c r="AD1" s="18" t="s">
        <v>74</v>
      </c>
      <c r="AE1" s="19" t="s">
        <v>75</v>
      </c>
      <c r="AF1" s="18" t="s">
        <v>451</v>
      </c>
      <c r="AG1" s="18" t="s">
        <v>83</v>
      </c>
    </row>
    <row r="2" spans="1:33" x14ac:dyDescent="0.25">
      <c r="A2" s="18"/>
      <c r="B2" s="18"/>
      <c r="C2" s="19"/>
      <c r="D2" s="18"/>
      <c r="E2" s="18"/>
      <c r="F2" s="18"/>
      <c r="G2" s="18" t="s">
        <v>452</v>
      </c>
      <c r="H2" s="18"/>
      <c r="I2" s="18" t="s">
        <v>452</v>
      </c>
      <c r="J2" s="18" t="s">
        <v>453</v>
      </c>
      <c r="K2" s="18" t="s">
        <v>453</v>
      </c>
      <c r="L2" s="18" t="s">
        <v>453</v>
      </c>
      <c r="M2" s="18"/>
      <c r="N2" s="18" t="s">
        <v>453</v>
      </c>
      <c r="O2" s="18"/>
      <c r="P2" s="18" t="s">
        <v>453</v>
      </c>
      <c r="Q2" s="19"/>
      <c r="R2" s="18" t="s">
        <v>179</v>
      </c>
      <c r="S2" s="18" t="s">
        <v>179</v>
      </c>
      <c r="T2" s="18"/>
      <c r="U2" s="18"/>
      <c r="V2" s="18"/>
      <c r="W2" s="18"/>
      <c r="X2" s="18"/>
      <c r="Y2" s="18" t="s">
        <v>40</v>
      </c>
      <c r="Z2" s="18" t="s">
        <v>40</v>
      </c>
      <c r="AA2" s="19"/>
      <c r="AB2" s="18"/>
      <c r="AC2" s="18"/>
      <c r="AD2" s="18" t="s">
        <v>40</v>
      </c>
      <c r="AE2" s="19"/>
      <c r="AF2" s="18"/>
      <c r="AG2" s="18" t="s">
        <v>179</v>
      </c>
    </row>
    <row r="3" spans="1:33" x14ac:dyDescent="0.25">
      <c r="A3" s="20" t="s">
        <v>92</v>
      </c>
      <c r="B3" s="20" t="s">
        <v>124</v>
      </c>
      <c r="C3" s="21" t="s">
        <v>454</v>
      </c>
      <c r="D3" s="20" t="s">
        <v>455</v>
      </c>
      <c r="E3" s="20" t="s">
        <v>456</v>
      </c>
      <c r="F3" s="20">
        <v>0.7</v>
      </c>
      <c r="G3" s="20">
        <v>17500</v>
      </c>
      <c r="H3" s="20" t="s">
        <v>493</v>
      </c>
      <c r="I3" s="20">
        <v>0</v>
      </c>
      <c r="J3" s="20">
        <v>8000</v>
      </c>
      <c r="K3" s="20">
        <v>0</v>
      </c>
      <c r="L3" s="20">
        <v>8000</v>
      </c>
      <c r="M3" s="20" t="s">
        <v>94</v>
      </c>
      <c r="N3" s="20">
        <v>1000</v>
      </c>
      <c r="O3" s="20" t="s">
        <v>94</v>
      </c>
      <c r="P3" s="20">
        <v>1000</v>
      </c>
      <c r="Q3" s="21" t="s">
        <v>494</v>
      </c>
      <c r="R3" s="20">
        <v>8</v>
      </c>
      <c r="S3" s="20">
        <v>13.5</v>
      </c>
      <c r="T3" s="20">
        <v>1</v>
      </c>
      <c r="U3" s="20">
        <v>0</v>
      </c>
      <c r="V3" s="20" t="s">
        <v>495</v>
      </c>
      <c r="W3" s="20" t="s">
        <v>460</v>
      </c>
      <c r="X3" s="20">
        <v>0</v>
      </c>
      <c r="Y3" s="20">
        <v>12</v>
      </c>
      <c r="Z3" s="20">
        <v>12</v>
      </c>
      <c r="AA3" s="21">
        <v>1.63</v>
      </c>
      <c r="AB3" s="20">
        <v>1</v>
      </c>
      <c r="AC3" s="20">
        <v>0</v>
      </c>
      <c r="AD3" s="20">
        <v>6</v>
      </c>
      <c r="AE3" s="21">
        <v>1.63</v>
      </c>
      <c r="AF3" s="20">
        <v>1</v>
      </c>
      <c r="AG3" s="20">
        <v>4</v>
      </c>
    </row>
    <row r="4" spans="1:33" x14ac:dyDescent="0.25">
      <c r="A4" s="20" t="s">
        <v>92</v>
      </c>
      <c r="B4" s="20" t="s">
        <v>124</v>
      </c>
      <c r="C4" s="21" t="s">
        <v>454</v>
      </c>
      <c r="D4" s="20" t="s">
        <v>237</v>
      </c>
      <c r="E4" s="20" t="s">
        <v>515</v>
      </c>
      <c r="F4" s="20">
        <v>0.8</v>
      </c>
      <c r="G4" s="20">
        <v>0</v>
      </c>
      <c r="H4" s="20" t="s">
        <v>493</v>
      </c>
      <c r="I4" s="20">
        <v>2500</v>
      </c>
      <c r="J4" s="20">
        <v>0</v>
      </c>
      <c r="K4" s="20">
        <v>2500</v>
      </c>
      <c r="L4" s="20">
        <v>0</v>
      </c>
      <c r="M4" s="20" t="s">
        <v>48</v>
      </c>
      <c r="N4" s="20">
        <v>0</v>
      </c>
      <c r="O4" s="20" t="s">
        <v>48</v>
      </c>
      <c r="P4" s="20">
        <v>0</v>
      </c>
      <c r="Q4" s="21" t="s">
        <v>494</v>
      </c>
      <c r="R4" s="20">
        <v>4</v>
      </c>
      <c r="S4" s="20">
        <v>7.5</v>
      </c>
      <c r="T4" s="20">
        <v>1</v>
      </c>
      <c r="U4" s="20">
        <v>0</v>
      </c>
      <c r="V4" s="20" t="s">
        <v>495</v>
      </c>
      <c r="W4" s="20" t="s">
        <v>460</v>
      </c>
      <c r="X4" s="20">
        <v>0</v>
      </c>
      <c r="Y4" s="20">
        <v>18</v>
      </c>
      <c r="Z4" s="20">
        <v>18</v>
      </c>
      <c r="AA4" s="21">
        <v>1.63</v>
      </c>
      <c r="AB4" s="20">
        <v>1</v>
      </c>
      <c r="AC4" s="20">
        <v>1</v>
      </c>
      <c r="AD4" s="20">
        <v>0</v>
      </c>
      <c r="AE4" s="21">
        <v>1.63</v>
      </c>
      <c r="AF4" s="20">
        <v>1</v>
      </c>
      <c r="AG4" s="20">
        <v>4</v>
      </c>
    </row>
    <row r="5" spans="1:33" x14ac:dyDescent="0.25">
      <c r="A5" s="20" t="s">
        <v>92</v>
      </c>
      <c r="B5" s="20" t="s">
        <v>124</v>
      </c>
      <c r="C5" s="21" t="s">
        <v>454</v>
      </c>
      <c r="D5" s="20" t="s">
        <v>455</v>
      </c>
      <c r="E5" s="20" t="s">
        <v>516</v>
      </c>
      <c r="F5" s="20">
        <v>0.7</v>
      </c>
      <c r="G5" s="20">
        <v>14999.999999999998</v>
      </c>
      <c r="H5" s="20" t="s">
        <v>493</v>
      </c>
      <c r="I5" s="20">
        <v>0</v>
      </c>
      <c r="J5" s="20">
        <v>1500</v>
      </c>
      <c r="K5" s="20">
        <v>0</v>
      </c>
      <c r="L5" s="20">
        <v>1500</v>
      </c>
      <c r="M5" s="20" t="s">
        <v>98</v>
      </c>
      <c r="N5" s="20">
        <v>500</v>
      </c>
      <c r="O5" s="20" t="s">
        <v>98</v>
      </c>
      <c r="P5" s="20">
        <v>500</v>
      </c>
      <c r="Q5" s="21" t="s">
        <v>540</v>
      </c>
      <c r="R5" s="20">
        <v>5</v>
      </c>
      <c r="S5" s="20">
        <v>8.25</v>
      </c>
      <c r="T5" s="20">
        <v>1</v>
      </c>
      <c r="U5" s="20">
        <v>0</v>
      </c>
      <c r="V5" s="20" t="s">
        <v>495</v>
      </c>
      <c r="W5" s="20" t="s">
        <v>460</v>
      </c>
      <c r="X5" s="20">
        <v>0</v>
      </c>
      <c r="Y5" s="20">
        <v>12</v>
      </c>
      <c r="Z5" s="20">
        <v>12</v>
      </c>
      <c r="AA5" s="21">
        <v>1.63</v>
      </c>
      <c r="AB5" s="20">
        <v>1</v>
      </c>
      <c r="AC5" s="20">
        <v>0</v>
      </c>
      <c r="AD5" s="20">
        <v>5</v>
      </c>
      <c r="AE5" s="21">
        <v>1.63</v>
      </c>
      <c r="AF5" s="20">
        <v>1</v>
      </c>
      <c r="AG5" s="20">
        <v>4</v>
      </c>
    </row>
    <row r="6" spans="1:33" x14ac:dyDescent="0.25">
      <c r="A6" s="20" t="s">
        <v>92</v>
      </c>
      <c r="B6" s="20" t="s">
        <v>124</v>
      </c>
      <c r="C6" s="21" t="s">
        <v>492</v>
      </c>
      <c r="D6" s="20" t="s">
        <v>237</v>
      </c>
      <c r="E6" s="20" t="s">
        <v>517</v>
      </c>
      <c r="F6" s="20">
        <v>0.7</v>
      </c>
      <c r="G6" s="20">
        <v>12500</v>
      </c>
      <c r="H6" s="20" t="s">
        <v>493</v>
      </c>
      <c r="I6" s="20">
        <v>0</v>
      </c>
      <c r="J6" s="20">
        <v>8000</v>
      </c>
      <c r="K6" s="20">
        <v>0</v>
      </c>
      <c r="L6" s="20">
        <v>8000</v>
      </c>
      <c r="M6" s="20" t="s">
        <v>48</v>
      </c>
      <c r="N6" s="20">
        <v>0</v>
      </c>
      <c r="O6" s="20" t="s">
        <v>48</v>
      </c>
      <c r="P6" s="20">
        <v>0</v>
      </c>
      <c r="Q6" s="21" t="s">
        <v>541</v>
      </c>
      <c r="R6" s="20">
        <v>4</v>
      </c>
      <c r="S6" s="20">
        <v>10.5</v>
      </c>
      <c r="T6" s="20">
        <v>1</v>
      </c>
      <c r="U6" s="20">
        <v>0</v>
      </c>
      <c r="V6" s="20" t="s">
        <v>495</v>
      </c>
      <c r="W6" s="20" t="s">
        <v>460</v>
      </c>
      <c r="X6" s="20">
        <v>0</v>
      </c>
      <c r="Y6" s="20">
        <v>10</v>
      </c>
      <c r="Z6" s="20">
        <v>10</v>
      </c>
      <c r="AA6" s="21">
        <v>1.63</v>
      </c>
      <c r="AB6" s="20">
        <v>1</v>
      </c>
      <c r="AC6" s="20">
        <v>1</v>
      </c>
      <c r="AD6" s="20">
        <v>0</v>
      </c>
      <c r="AE6" s="21">
        <v>1.63</v>
      </c>
      <c r="AF6" s="20">
        <v>1</v>
      </c>
      <c r="AG6" s="20">
        <v>4</v>
      </c>
    </row>
    <row r="7" spans="1:33" x14ac:dyDescent="0.25">
      <c r="A7" s="20" t="s">
        <v>92</v>
      </c>
      <c r="B7" s="20" t="s">
        <v>124</v>
      </c>
      <c r="C7" s="21" t="s">
        <v>492</v>
      </c>
      <c r="D7" s="20" t="s">
        <v>455</v>
      </c>
      <c r="E7" s="20" t="s">
        <v>518</v>
      </c>
      <c r="F7" s="20">
        <v>0.7</v>
      </c>
      <c r="G7" s="20">
        <v>12000</v>
      </c>
      <c r="H7" s="20" t="s">
        <v>493</v>
      </c>
      <c r="I7" s="20">
        <v>0</v>
      </c>
      <c r="J7" s="20">
        <v>8500</v>
      </c>
      <c r="K7" s="20">
        <v>0</v>
      </c>
      <c r="L7" s="20">
        <v>8500</v>
      </c>
      <c r="M7" s="20" t="s">
        <v>48</v>
      </c>
      <c r="N7" s="20">
        <v>0</v>
      </c>
      <c r="O7" s="20" t="s">
        <v>48</v>
      </c>
      <c r="P7" s="20">
        <v>0</v>
      </c>
      <c r="Q7" s="21" t="s">
        <v>542</v>
      </c>
      <c r="R7" s="20">
        <v>4.25</v>
      </c>
      <c r="S7" s="20">
        <v>15</v>
      </c>
      <c r="T7" s="20">
        <v>1</v>
      </c>
      <c r="U7" s="20">
        <v>1</v>
      </c>
      <c r="V7" s="20" t="s">
        <v>495</v>
      </c>
      <c r="W7" s="20" t="s">
        <v>460</v>
      </c>
      <c r="X7" s="20">
        <v>0</v>
      </c>
      <c r="Y7" s="20">
        <v>12</v>
      </c>
      <c r="Z7" s="20">
        <v>12</v>
      </c>
      <c r="AA7" s="21">
        <v>1.63</v>
      </c>
      <c r="AB7" s="20">
        <v>1</v>
      </c>
      <c r="AC7" s="20">
        <v>1</v>
      </c>
      <c r="AD7" s="20">
        <v>0</v>
      </c>
      <c r="AE7" s="21">
        <v>1.63</v>
      </c>
      <c r="AF7" s="20">
        <v>1</v>
      </c>
      <c r="AG7" s="20">
        <v>4</v>
      </c>
    </row>
    <row r="8" spans="1:33" x14ac:dyDescent="0.25">
      <c r="A8" s="20" t="s">
        <v>92</v>
      </c>
      <c r="B8" s="20" t="s">
        <v>124</v>
      </c>
      <c r="C8" s="21" t="s">
        <v>492</v>
      </c>
      <c r="D8" s="20" t="s">
        <v>237</v>
      </c>
      <c r="E8" s="20" t="s">
        <v>456</v>
      </c>
      <c r="F8" s="20">
        <v>0.8</v>
      </c>
      <c r="G8" s="20">
        <v>9500</v>
      </c>
      <c r="H8" s="20" t="s">
        <v>493</v>
      </c>
      <c r="I8" s="20">
        <v>0</v>
      </c>
      <c r="J8" s="20">
        <v>6750</v>
      </c>
      <c r="K8" s="20">
        <v>0</v>
      </c>
      <c r="L8" s="20">
        <v>6750</v>
      </c>
      <c r="M8" s="20" t="s">
        <v>98</v>
      </c>
      <c r="N8" s="20">
        <v>1000</v>
      </c>
      <c r="O8" s="20" t="s">
        <v>98</v>
      </c>
      <c r="P8" s="20">
        <v>1000</v>
      </c>
      <c r="Q8" s="21" t="s">
        <v>540</v>
      </c>
      <c r="R8" s="20">
        <v>3.5</v>
      </c>
      <c r="S8" s="20">
        <v>10</v>
      </c>
      <c r="T8" s="20">
        <v>1</v>
      </c>
      <c r="U8" s="20">
        <v>0</v>
      </c>
      <c r="V8" s="20" t="s">
        <v>495</v>
      </c>
      <c r="W8" s="20" t="s">
        <v>460</v>
      </c>
      <c r="X8" s="20">
        <v>0</v>
      </c>
      <c r="Y8" s="20">
        <v>12</v>
      </c>
      <c r="Z8" s="20">
        <v>12</v>
      </c>
      <c r="AA8" s="21">
        <v>1.63</v>
      </c>
      <c r="AB8" s="20">
        <v>1</v>
      </c>
      <c r="AC8" s="20">
        <v>0</v>
      </c>
      <c r="AD8" s="20">
        <v>12</v>
      </c>
      <c r="AE8" s="21">
        <v>1.63</v>
      </c>
      <c r="AF8" s="20">
        <v>1</v>
      </c>
      <c r="AG8" s="20">
        <v>4</v>
      </c>
    </row>
    <row r="9" spans="1:33" x14ac:dyDescent="0.25">
      <c r="A9" s="20" t="s">
        <v>92</v>
      </c>
      <c r="B9" s="20" t="s">
        <v>124</v>
      </c>
      <c r="C9" s="21" t="s">
        <v>519</v>
      </c>
      <c r="D9" s="20" t="s">
        <v>455</v>
      </c>
      <c r="E9" s="20" t="s">
        <v>515</v>
      </c>
      <c r="F9" s="20">
        <v>0.7</v>
      </c>
      <c r="G9" s="20">
        <v>0</v>
      </c>
      <c r="H9" s="20" t="s">
        <v>493</v>
      </c>
      <c r="I9" s="20">
        <v>5000</v>
      </c>
      <c r="J9" s="20">
        <v>0</v>
      </c>
      <c r="K9" s="20">
        <v>1000</v>
      </c>
      <c r="L9" s="20">
        <v>0</v>
      </c>
      <c r="M9" s="20" t="s">
        <v>48</v>
      </c>
      <c r="N9" s="20">
        <v>0</v>
      </c>
      <c r="O9" s="20" t="s">
        <v>48</v>
      </c>
      <c r="P9" s="20">
        <v>0</v>
      </c>
      <c r="Q9" s="21" t="s">
        <v>543</v>
      </c>
      <c r="R9" s="20">
        <v>5.9999999999999991</v>
      </c>
      <c r="S9" s="20">
        <v>8.25</v>
      </c>
      <c r="T9" s="20">
        <v>1</v>
      </c>
      <c r="U9" s="20">
        <v>0</v>
      </c>
      <c r="V9" s="20" t="s">
        <v>495</v>
      </c>
      <c r="W9" s="20" t="s">
        <v>460</v>
      </c>
      <c r="X9" s="20">
        <v>0</v>
      </c>
      <c r="Y9" s="20">
        <v>15.5</v>
      </c>
      <c r="Z9" s="20">
        <v>15.5</v>
      </c>
      <c r="AA9" s="21">
        <v>1.63</v>
      </c>
      <c r="AB9" s="20">
        <v>1</v>
      </c>
      <c r="AC9" s="20">
        <v>0</v>
      </c>
      <c r="AD9" s="20">
        <v>8</v>
      </c>
      <c r="AE9" s="21">
        <v>1.63</v>
      </c>
      <c r="AF9" s="20">
        <v>1</v>
      </c>
      <c r="AG9" s="20">
        <v>4</v>
      </c>
    </row>
    <row r="10" spans="1:33" x14ac:dyDescent="0.25">
      <c r="A10" s="20" t="s">
        <v>92</v>
      </c>
      <c r="B10" s="20" t="s">
        <v>124</v>
      </c>
      <c r="C10" s="21" t="s">
        <v>519</v>
      </c>
      <c r="D10" s="20" t="s">
        <v>237</v>
      </c>
      <c r="E10" s="20" t="s">
        <v>516</v>
      </c>
      <c r="F10" s="20">
        <v>0.8</v>
      </c>
      <c r="G10" s="20">
        <v>5500</v>
      </c>
      <c r="H10" s="20" t="s">
        <v>493</v>
      </c>
      <c r="I10" s="20">
        <v>0</v>
      </c>
      <c r="J10" s="20">
        <v>8500</v>
      </c>
      <c r="K10" s="20">
        <v>0</v>
      </c>
      <c r="L10" s="20">
        <v>8500</v>
      </c>
      <c r="M10" s="20" t="s">
        <v>94</v>
      </c>
      <c r="N10" s="20">
        <v>2500</v>
      </c>
      <c r="O10" s="20" t="s">
        <v>94</v>
      </c>
      <c r="P10" s="20">
        <v>2500</v>
      </c>
      <c r="Q10" s="21" t="s">
        <v>544</v>
      </c>
      <c r="R10" s="20">
        <v>4</v>
      </c>
      <c r="S10" s="20">
        <v>7.5</v>
      </c>
      <c r="T10" s="20">
        <v>1</v>
      </c>
      <c r="U10" s="20">
        <v>0</v>
      </c>
      <c r="V10" s="20" t="s">
        <v>495</v>
      </c>
      <c r="W10" s="20" t="s">
        <v>460</v>
      </c>
      <c r="X10" s="20">
        <v>0</v>
      </c>
      <c r="Y10" s="20">
        <v>12</v>
      </c>
      <c r="Z10" s="20">
        <v>12</v>
      </c>
      <c r="AA10" s="21">
        <v>1.63</v>
      </c>
      <c r="AB10" s="20">
        <v>1</v>
      </c>
      <c r="AC10" s="20">
        <v>1</v>
      </c>
      <c r="AD10" s="20">
        <v>0</v>
      </c>
      <c r="AE10" s="21">
        <v>1.63</v>
      </c>
      <c r="AF10" s="20">
        <v>1</v>
      </c>
      <c r="AG10" s="20">
        <v>4</v>
      </c>
    </row>
    <row r="11" spans="1:33" x14ac:dyDescent="0.25">
      <c r="A11" s="20" t="s">
        <v>92</v>
      </c>
      <c r="B11" s="20" t="s">
        <v>124</v>
      </c>
      <c r="C11" s="21" t="s">
        <v>520</v>
      </c>
      <c r="D11" s="20" t="s">
        <v>455</v>
      </c>
      <c r="E11" s="20" t="s">
        <v>517</v>
      </c>
      <c r="F11" s="20">
        <v>0.7</v>
      </c>
      <c r="G11" s="20">
        <v>7499.9999999999991</v>
      </c>
      <c r="H11" s="20" t="s">
        <v>493</v>
      </c>
      <c r="I11" s="20">
        <v>0</v>
      </c>
      <c r="J11" s="20">
        <v>1250</v>
      </c>
      <c r="K11" s="20">
        <v>0</v>
      </c>
      <c r="L11" s="20">
        <v>1250</v>
      </c>
      <c r="M11" s="20" t="s">
        <v>48</v>
      </c>
      <c r="N11" s="20">
        <v>0</v>
      </c>
      <c r="O11" s="20" t="s">
        <v>48</v>
      </c>
      <c r="P11" s="20">
        <v>0</v>
      </c>
      <c r="Q11" s="21" t="s">
        <v>543</v>
      </c>
      <c r="R11" s="20">
        <v>3.125</v>
      </c>
      <c r="S11" s="20">
        <v>8.25</v>
      </c>
      <c r="T11" s="20">
        <v>1</v>
      </c>
      <c r="U11" s="20">
        <v>0</v>
      </c>
      <c r="V11" s="20" t="s">
        <v>495</v>
      </c>
      <c r="W11" s="20" t="s">
        <v>460</v>
      </c>
      <c r="X11" s="20">
        <v>0</v>
      </c>
      <c r="Y11" s="20">
        <v>8</v>
      </c>
      <c r="Z11" s="20">
        <v>8</v>
      </c>
      <c r="AA11" s="21">
        <v>1.63</v>
      </c>
      <c r="AB11" s="20">
        <v>1</v>
      </c>
      <c r="AC11" s="20">
        <v>0</v>
      </c>
      <c r="AD11" s="20">
        <v>4</v>
      </c>
      <c r="AE11" s="21">
        <v>1.63</v>
      </c>
      <c r="AF11" s="20">
        <v>1</v>
      </c>
      <c r="AG11" s="20">
        <v>4</v>
      </c>
    </row>
    <row r="12" spans="1:33" x14ac:dyDescent="0.25">
      <c r="A12" s="20" t="s">
        <v>92</v>
      </c>
      <c r="B12" s="20" t="s">
        <v>124</v>
      </c>
      <c r="C12" s="21" t="s">
        <v>520</v>
      </c>
      <c r="D12" s="20" t="s">
        <v>237</v>
      </c>
      <c r="E12" s="20" t="s">
        <v>518</v>
      </c>
      <c r="F12" s="20">
        <v>0.7</v>
      </c>
      <c r="G12" s="20">
        <v>0</v>
      </c>
      <c r="H12" s="20" t="s">
        <v>493</v>
      </c>
      <c r="I12" s="20">
        <v>5000</v>
      </c>
      <c r="J12" s="20">
        <v>0</v>
      </c>
      <c r="K12" s="20">
        <v>1250</v>
      </c>
      <c r="L12" s="20">
        <v>0</v>
      </c>
      <c r="M12" s="20" t="s">
        <v>94</v>
      </c>
      <c r="N12" s="20">
        <v>10000</v>
      </c>
      <c r="O12" s="20" t="s">
        <v>94</v>
      </c>
      <c r="P12" s="20">
        <v>10000</v>
      </c>
      <c r="Q12" s="21" t="s">
        <v>545</v>
      </c>
      <c r="R12" s="20">
        <v>4</v>
      </c>
      <c r="S12" s="20">
        <v>8.25</v>
      </c>
      <c r="T12" s="20">
        <v>1</v>
      </c>
      <c r="U12" s="20">
        <v>0</v>
      </c>
      <c r="V12" s="20" t="s">
        <v>495</v>
      </c>
      <c r="W12" s="20" t="s">
        <v>460</v>
      </c>
      <c r="X12" s="20">
        <v>0</v>
      </c>
      <c r="Y12" s="20">
        <v>12</v>
      </c>
      <c r="Z12" s="20">
        <v>12</v>
      </c>
      <c r="AA12" s="21">
        <v>1.63</v>
      </c>
      <c r="AB12" s="20">
        <v>1</v>
      </c>
      <c r="AC12" s="20">
        <v>0</v>
      </c>
      <c r="AD12" s="20">
        <v>6</v>
      </c>
      <c r="AE12" s="21">
        <v>1.63</v>
      </c>
      <c r="AF12" s="20">
        <v>1</v>
      </c>
      <c r="AG12" s="20">
        <v>4</v>
      </c>
    </row>
    <row r="17" spans="2:6" x14ac:dyDescent="0.25">
      <c r="B17" s="4"/>
      <c r="C17" s="16"/>
      <c r="D17" s="4"/>
      <c r="F17" s="4"/>
    </row>
    <row r="18" spans="2:6" x14ac:dyDescent="0.25">
      <c r="B18" s="11"/>
      <c r="D18" s="11"/>
      <c r="F18" s="11"/>
    </row>
    <row r="21" spans="2:6" x14ac:dyDescent="0.25">
      <c r="B21" s="4"/>
      <c r="C21" s="16"/>
      <c r="D21" s="4"/>
      <c r="F21" s="4"/>
    </row>
  </sheetData>
  <pageMargins left="0.7" right="0.7" top="0.75" bottom="0.75" header="0.3" footer="0.3"/>
  <pageSetup paperSize="9" orientation="portrait" r:id="rId1"/>
  <ignoredErrors>
    <ignoredError sqref="C3:C12" numberStoredAsText="1"/>
  </ignoredError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8"/>
  <dimension ref="A1:Y12"/>
  <sheetViews>
    <sheetView workbookViewId="0">
      <selection activeCell="D20" sqref="D20"/>
    </sheetView>
  </sheetViews>
  <sheetFormatPr defaultRowHeight="15" x14ac:dyDescent="0.25"/>
  <cols>
    <col min="1" max="2" width="10.42578125" bestFit="1" customWidth="1"/>
    <col min="3" max="3" width="9.5703125" bestFit="1" customWidth="1"/>
    <col min="4" max="5" width="10.42578125" bestFit="1" customWidth="1"/>
    <col min="6" max="6" width="9.42578125" customWidth="1"/>
    <col min="7" max="7" width="15.42578125" bestFit="1" customWidth="1"/>
    <col min="8" max="8" width="14.7109375" bestFit="1" customWidth="1"/>
    <col min="9" max="9" width="10.5703125" bestFit="1" customWidth="1"/>
    <col min="10" max="10" width="15.42578125" bestFit="1" customWidth="1"/>
    <col min="11" max="11" width="14.7109375" bestFit="1" customWidth="1"/>
    <col min="12" max="12" width="10.5703125" bestFit="1" customWidth="1"/>
    <col min="13" max="13" width="10.42578125" bestFit="1" customWidth="1"/>
    <col min="14" max="14" width="9.7109375" bestFit="1" customWidth="1"/>
    <col min="15" max="15" width="10.28515625" bestFit="1" customWidth="1"/>
    <col min="16" max="16" width="10.42578125" bestFit="1" customWidth="1"/>
    <col min="17" max="17" width="9.7109375" bestFit="1" customWidth="1"/>
    <col min="18" max="18" width="10.28515625" bestFit="1" customWidth="1"/>
    <col min="19" max="19" width="10.42578125" bestFit="1" customWidth="1"/>
    <col min="20" max="20" width="9.5703125" bestFit="1" customWidth="1"/>
    <col min="21" max="21" width="10.5703125" bestFit="1" customWidth="1"/>
    <col min="22" max="22" width="10.42578125" bestFit="1" customWidth="1"/>
    <col min="23" max="23" width="9.5703125" bestFit="1" customWidth="1"/>
    <col min="24" max="24" width="10.5703125" bestFit="1" customWidth="1"/>
    <col min="25" max="25" width="11.28515625" bestFit="1" customWidth="1"/>
  </cols>
  <sheetData>
    <row r="1" spans="1:25" x14ac:dyDescent="0.25">
      <c r="A1" s="1" t="s">
        <v>461</v>
      </c>
      <c r="B1" s="1" t="s">
        <v>462</v>
      </c>
      <c r="C1" s="1" t="s">
        <v>463</v>
      </c>
      <c r="D1" s="1" t="s">
        <v>464</v>
      </c>
      <c r="E1" s="1" t="s">
        <v>465</v>
      </c>
      <c r="F1" s="1" t="s">
        <v>466</v>
      </c>
      <c r="G1" s="1" t="s">
        <v>467</v>
      </c>
      <c r="H1" s="1" t="s">
        <v>468</v>
      </c>
      <c r="I1" s="1" t="s">
        <v>469</v>
      </c>
      <c r="J1" s="1" t="s">
        <v>470</v>
      </c>
      <c r="K1" s="1" t="s">
        <v>471</v>
      </c>
      <c r="L1" s="1" t="s">
        <v>472</v>
      </c>
      <c r="M1" s="1" t="s">
        <v>473</v>
      </c>
      <c r="N1" s="1" t="s">
        <v>474</v>
      </c>
      <c r="O1" s="1" t="s">
        <v>475</v>
      </c>
      <c r="P1" s="1" t="s">
        <v>476</v>
      </c>
      <c r="Q1" s="1" t="s">
        <v>477</v>
      </c>
      <c r="R1" s="1" t="s">
        <v>478</v>
      </c>
      <c r="S1" s="1" t="s">
        <v>479</v>
      </c>
      <c r="T1" s="1" t="s">
        <v>480</v>
      </c>
      <c r="U1" s="1" t="s">
        <v>481</v>
      </c>
      <c r="V1" s="1" t="s">
        <v>482</v>
      </c>
      <c r="W1" s="1" t="s">
        <v>483</v>
      </c>
      <c r="X1" s="1" t="s">
        <v>484</v>
      </c>
      <c r="Y1" s="1" t="s">
        <v>485</v>
      </c>
    </row>
    <row r="2" spans="1:25" x14ac:dyDescent="0.25">
      <c r="A2" s="1" t="s">
        <v>486</v>
      </c>
      <c r="B2" s="1" t="s">
        <v>486</v>
      </c>
      <c r="C2" s="1"/>
      <c r="D2" s="1" t="s">
        <v>486</v>
      </c>
      <c r="E2" s="1" t="s">
        <v>486</v>
      </c>
      <c r="F2" s="1"/>
      <c r="G2" s="1" t="s">
        <v>486</v>
      </c>
      <c r="H2" s="1" t="s">
        <v>486</v>
      </c>
      <c r="I2" s="1"/>
      <c r="J2" s="1" t="s">
        <v>486</v>
      </c>
      <c r="K2" s="1" t="s">
        <v>486</v>
      </c>
      <c r="L2" s="1"/>
      <c r="M2" s="1" t="s">
        <v>486</v>
      </c>
      <c r="N2" s="1" t="s">
        <v>486</v>
      </c>
      <c r="O2" s="1"/>
      <c r="P2" s="1" t="s">
        <v>486</v>
      </c>
      <c r="Q2" s="1" t="s">
        <v>486</v>
      </c>
      <c r="R2" s="1"/>
      <c r="S2" s="1" t="s">
        <v>486</v>
      </c>
      <c r="T2" s="1" t="s">
        <v>486</v>
      </c>
      <c r="U2" s="1"/>
      <c r="V2" s="1" t="s">
        <v>486</v>
      </c>
      <c r="W2" s="1" t="s">
        <v>486</v>
      </c>
      <c r="X2" s="1"/>
      <c r="Y2" s="1"/>
    </row>
    <row r="3" spans="1:25" x14ac:dyDescent="0.25">
      <c r="A3" s="22"/>
      <c r="B3" s="22"/>
      <c r="C3" s="22"/>
      <c r="D3" s="22"/>
      <c r="E3" s="22"/>
      <c r="F3" s="22"/>
      <c r="G3" s="22"/>
      <c r="H3" s="22"/>
      <c r="I3" s="22"/>
      <c r="J3" s="22"/>
      <c r="K3" s="22"/>
      <c r="L3" s="22"/>
      <c r="M3" s="22"/>
      <c r="N3" s="22"/>
      <c r="O3" s="22"/>
      <c r="P3" s="22"/>
      <c r="Q3" s="22"/>
      <c r="R3" s="22"/>
      <c r="S3" s="22"/>
      <c r="T3" s="22"/>
      <c r="U3" s="22"/>
      <c r="V3" s="22"/>
      <c r="W3" s="22"/>
      <c r="X3" s="22"/>
      <c r="Y3" s="22"/>
    </row>
    <row r="4" spans="1:25" x14ac:dyDescent="0.25">
      <c r="A4" s="22"/>
      <c r="B4" s="22"/>
      <c r="C4" s="22"/>
      <c r="D4" s="22"/>
      <c r="E4" s="22"/>
      <c r="F4" s="22"/>
      <c r="G4" s="22"/>
      <c r="H4" s="22"/>
      <c r="I4" s="22"/>
      <c r="J4" s="22"/>
      <c r="K4" s="22"/>
      <c r="L4" s="22"/>
      <c r="M4" s="22"/>
      <c r="N4" s="22"/>
      <c r="O4" s="22"/>
      <c r="P4" s="22"/>
      <c r="Q4" s="22"/>
      <c r="R4" s="22"/>
      <c r="S4" s="22"/>
      <c r="T4" s="22"/>
      <c r="U4" s="22"/>
      <c r="V4" s="22"/>
      <c r="W4" s="22"/>
      <c r="X4" s="22"/>
      <c r="Y4" s="22"/>
    </row>
    <row r="5" spans="1:25" x14ac:dyDescent="0.25">
      <c r="A5" s="22"/>
      <c r="B5" s="22"/>
      <c r="C5" s="22"/>
      <c r="D5" s="22"/>
      <c r="E5" s="22"/>
      <c r="F5" s="22"/>
      <c r="G5" s="22"/>
      <c r="H5" s="22"/>
      <c r="I5" s="22"/>
      <c r="J5" s="22"/>
      <c r="K5" s="22"/>
      <c r="L5" s="22"/>
      <c r="M5" s="22"/>
      <c r="N5" s="22"/>
      <c r="O5" s="22"/>
      <c r="P5" s="22"/>
      <c r="Q5" s="22"/>
      <c r="R5" s="22"/>
      <c r="S5" s="22"/>
      <c r="T5" s="22"/>
      <c r="U5" s="22"/>
      <c r="V5" s="22"/>
      <c r="W5" s="22"/>
      <c r="X5" s="22"/>
      <c r="Y5" s="22"/>
    </row>
    <row r="6" spans="1:25" x14ac:dyDescent="0.25">
      <c r="A6" s="22"/>
      <c r="B6" s="22"/>
      <c r="C6" s="22"/>
      <c r="D6" s="22"/>
      <c r="E6" s="22"/>
      <c r="F6" s="22"/>
      <c r="G6" s="22"/>
      <c r="H6" s="22"/>
      <c r="I6" s="22"/>
      <c r="J6" s="22"/>
      <c r="K6" s="22"/>
      <c r="L6" s="22"/>
      <c r="M6" s="22"/>
      <c r="N6" s="22"/>
      <c r="O6" s="22"/>
      <c r="P6" s="22"/>
      <c r="Q6" s="22"/>
      <c r="R6" s="22"/>
      <c r="S6" s="22"/>
      <c r="T6" s="22"/>
      <c r="U6" s="22"/>
      <c r="V6" s="22"/>
      <c r="W6" s="22"/>
      <c r="X6" s="22"/>
      <c r="Y6" s="22"/>
    </row>
    <row r="7" spans="1:25" x14ac:dyDescent="0.25">
      <c r="A7" s="22"/>
      <c r="B7" s="22"/>
      <c r="C7" s="22"/>
      <c r="D7" s="22"/>
      <c r="E7" s="22"/>
      <c r="F7" s="22"/>
      <c r="G7" s="22"/>
      <c r="H7" s="22"/>
      <c r="I7" s="22"/>
      <c r="J7" s="22"/>
      <c r="K7" s="22"/>
      <c r="L7" s="22"/>
      <c r="M7" s="22"/>
      <c r="N7" s="22"/>
      <c r="O7" s="22"/>
      <c r="P7" s="22"/>
      <c r="Q7" s="22"/>
      <c r="R7" s="22"/>
      <c r="S7" s="22"/>
      <c r="T7" s="22"/>
      <c r="U7" s="22"/>
      <c r="V7" s="22"/>
      <c r="W7" s="22"/>
      <c r="X7" s="22"/>
      <c r="Y7" s="22"/>
    </row>
    <row r="8" spans="1:25" x14ac:dyDescent="0.25">
      <c r="A8" s="22"/>
      <c r="B8" s="22"/>
      <c r="C8" s="22"/>
      <c r="D8" s="22"/>
      <c r="E8" s="22"/>
      <c r="F8" s="22"/>
      <c r="G8" s="22"/>
      <c r="H8" s="22"/>
      <c r="I8" s="22"/>
      <c r="J8" s="22"/>
      <c r="K8" s="22"/>
      <c r="L8" s="22"/>
      <c r="M8" s="22"/>
      <c r="N8" s="22"/>
      <c r="O8" s="22"/>
      <c r="P8" s="22"/>
      <c r="Q8" s="22"/>
      <c r="R8" s="22"/>
      <c r="S8" s="22"/>
      <c r="T8" s="22"/>
      <c r="U8" s="22"/>
      <c r="V8" s="22"/>
      <c r="W8" s="22"/>
      <c r="X8" s="22"/>
      <c r="Y8" s="22"/>
    </row>
    <row r="9" spans="1:25" x14ac:dyDescent="0.25">
      <c r="A9" s="22"/>
      <c r="B9" s="22"/>
      <c r="C9" s="22"/>
      <c r="D9" s="22"/>
      <c r="E9" s="22"/>
      <c r="F9" s="22"/>
      <c r="G9" s="22"/>
      <c r="H9" s="22"/>
      <c r="I9" s="22"/>
      <c r="J9" s="22"/>
      <c r="K9" s="22"/>
      <c r="L9" s="22"/>
      <c r="M9" s="22"/>
      <c r="N9" s="22"/>
      <c r="O9" s="22"/>
      <c r="P9" s="22"/>
      <c r="Q9" s="22"/>
      <c r="R9" s="22"/>
      <c r="S9" s="22"/>
      <c r="T9" s="22"/>
      <c r="U9" s="22"/>
      <c r="V9" s="22"/>
      <c r="W9" s="22"/>
      <c r="X9" s="22"/>
      <c r="Y9" s="22"/>
    </row>
    <row r="10" spans="1:25" x14ac:dyDescent="0.25">
      <c r="A10" s="22"/>
      <c r="B10" s="22"/>
      <c r="C10" s="22"/>
      <c r="D10" s="22"/>
      <c r="E10" s="22"/>
      <c r="F10" s="22"/>
      <c r="G10" s="22"/>
      <c r="H10" s="22"/>
      <c r="I10" s="22"/>
      <c r="J10" s="22"/>
      <c r="K10" s="22"/>
      <c r="L10" s="22"/>
      <c r="M10" s="22"/>
      <c r="N10" s="22"/>
      <c r="O10" s="22"/>
      <c r="P10" s="22"/>
      <c r="Q10" s="22"/>
      <c r="R10" s="22"/>
      <c r="S10" s="22"/>
      <c r="T10" s="22"/>
      <c r="U10" s="22"/>
      <c r="V10" s="22"/>
      <c r="W10" s="22"/>
      <c r="X10" s="22"/>
      <c r="Y10" s="22"/>
    </row>
    <row r="11" spans="1:25" x14ac:dyDescent="0.25">
      <c r="A11" s="22"/>
      <c r="B11" s="22"/>
      <c r="C11" s="22"/>
      <c r="D11" s="22"/>
      <c r="E11" s="22"/>
      <c r="F11" s="22"/>
      <c r="G11" s="22"/>
      <c r="H11" s="22"/>
      <c r="I11" s="22"/>
      <c r="J11" s="22"/>
      <c r="K11" s="22"/>
      <c r="L11" s="22"/>
      <c r="M11" s="22"/>
      <c r="N11" s="22"/>
      <c r="O11" s="22"/>
      <c r="P11" s="22"/>
      <c r="Q11" s="22"/>
      <c r="R11" s="22"/>
      <c r="S11" s="22"/>
      <c r="T11" s="22"/>
      <c r="U11" s="22"/>
      <c r="V11" s="22"/>
      <c r="W11" s="22"/>
      <c r="X11" s="22"/>
      <c r="Y11" s="22"/>
    </row>
    <row r="12" spans="1:25" x14ac:dyDescent="0.25">
      <c r="A12" s="22"/>
      <c r="B12" s="22"/>
      <c r="C12" s="22"/>
      <c r="D12" s="22"/>
      <c r="E12" s="22"/>
      <c r="F12" s="22"/>
      <c r="G12" s="22"/>
      <c r="H12" s="22"/>
      <c r="I12" s="22"/>
      <c r="J12" s="22"/>
      <c r="K12" s="22"/>
      <c r="L12" s="22"/>
      <c r="M12" s="22"/>
      <c r="N12" s="22"/>
      <c r="O12" s="22"/>
      <c r="P12" s="22"/>
      <c r="Q12" s="22"/>
      <c r="R12" s="22"/>
      <c r="S12" s="22"/>
      <c r="T12" s="22"/>
      <c r="U12" s="22"/>
      <c r="V12" s="22"/>
      <c r="W12" s="22"/>
      <c r="X12" s="22"/>
      <c r="Y12" s="22"/>
    </row>
  </sheetData>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dimension ref="A1:AK11"/>
  <sheetViews>
    <sheetView topLeftCell="N1" workbookViewId="0">
      <selection activeCell="W14" sqref="W14"/>
    </sheetView>
  </sheetViews>
  <sheetFormatPr defaultRowHeight="15" x14ac:dyDescent="0.25"/>
  <cols>
    <col min="1" max="1" width="34" bestFit="1" customWidth="1"/>
    <col min="2" max="2" width="17.5703125" bestFit="1" customWidth="1"/>
    <col min="3" max="3" width="11.85546875" bestFit="1" customWidth="1"/>
    <col min="5" max="5" width="11.7109375" bestFit="1" customWidth="1"/>
    <col min="6" max="6" width="10.7109375" bestFit="1" customWidth="1"/>
    <col min="15" max="15" width="12.140625" bestFit="1" customWidth="1"/>
    <col min="16" max="16" width="5.5703125" bestFit="1" customWidth="1"/>
    <col min="17" max="17" width="12.140625" bestFit="1" customWidth="1"/>
    <col min="18" max="18" width="5.5703125" bestFit="1" customWidth="1"/>
    <col min="19" max="19" width="12.140625" bestFit="1" customWidth="1"/>
    <col min="20" max="20" width="5.5703125" bestFit="1" customWidth="1"/>
    <col min="21" max="21" width="12.140625" bestFit="1" customWidth="1"/>
    <col min="22" max="22" width="5.5703125" bestFit="1" customWidth="1"/>
    <col min="23" max="23" width="12.140625" bestFit="1" customWidth="1"/>
    <col min="24" max="24" width="6.85546875" bestFit="1" customWidth="1"/>
    <col min="25" max="25" width="10.28515625" bestFit="1" customWidth="1"/>
    <col min="26" max="26" width="10" bestFit="1" customWidth="1"/>
    <col min="27" max="27" width="11" bestFit="1" customWidth="1"/>
    <col min="28" max="28" width="10.7109375" bestFit="1" customWidth="1"/>
    <col min="29" max="29" width="12.140625" bestFit="1" customWidth="1"/>
    <col min="30" max="30" width="11.85546875" bestFit="1" customWidth="1"/>
  </cols>
  <sheetData>
    <row r="1" spans="1:37" x14ac:dyDescent="0.25">
      <c r="A1" s="2" t="s">
        <v>328</v>
      </c>
      <c r="B1" s="2" t="s">
        <v>335</v>
      </c>
      <c r="C1" s="2" t="s">
        <v>299</v>
      </c>
      <c r="D1" s="2" t="s">
        <v>300</v>
      </c>
      <c r="E1" s="2" t="s">
        <v>301</v>
      </c>
      <c r="F1" s="2" t="s">
        <v>302</v>
      </c>
      <c r="G1" s="2" t="s">
        <v>15</v>
      </c>
      <c r="H1" s="2" t="s">
        <v>303</v>
      </c>
      <c r="I1" s="2" t="s">
        <v>73</v>
      </c>
      <c r="J1" s="2" t="s">
        <v>304</v>
      </c>
      <c r="K1" s="2" t="s">
        <v>305</v>
      </c>
      <c r="L1" s="2" t="s">
        <v>306</v>
      </c>
      <c r="M1" s="2" t="s">
        <v>307</v>
      </c>
      <c r="N1" s="2" t="s">
        <v>322</v>
      </c>
      <c r="O1" s="2" t="s">
        <v>311</v>
      </c>
      <c r="P1" s="2" t="s">
        <v>324</v>
      </c>
      <c r="Q1" s="2" t="s">
        <v>312</v>
      </c>
      <c r="R1" s="2" t="s">
        <v>325</v>
      </c>
      <c r="S1" s="2" t="s">
        <v>313</v>
      </c>
      <c r="T1" s="2" t="s">
        <v>326</v>
      </c>
      <c r="U1" s="2" t="s">
        <v>314</v>
      </c>
      <c r="V1" s="2" t="s">
        <v>327</v>
      </c>
      <c r="W1" s="2" t="s">
        <v>315</v>
      </c>
      <c r="Y1" s="2" t="s">
        <v>316</v>
      </c>
      <c r="Z1" s="2" t="s">
        <v>317</v>
      </c>
      <c r="AA1" s="2" t="s">
        <v>318</v>
      </c>
      <c r="AB1" s="2" t="s">
        <v>319</v>
      </c>
      <c r="AC1" s="2" t="s">
        <v>320</v>
      </c>
      <c r="AD1" s="2" t="s">
        <v>321</v>
      </c>
    </row>
    <row r="2" spans="1:37" x14ac:dyDescent="0.25">
      <c r="A2" s="2"/>
      <c r="B2" s="2"/>
      <c r="C2" s="2"/>
      <c r="D2" s="2" t="s">
        <v>138</v>
      </c>
      <c r="E2" s="2" t="s">
        <v>310</v>
      </c>
      <c r="F2" s="2" t="s">
        <v>308</v>
      </c>
      <c r="G2" s="2" t="s">
        <v>309</v>
      </c>
      <c r="H2" s="2"/>
      <c r="I2" s="2" t="s">
        <v>0</v>
      </c>
      <c r="J2" s="2" t="s">
        <v>0</v>
      </c>
      <c r="K2" s="2" t="s">
        <v>0</v>
      </c>
      <c r="L2" s="2" t="s">
        <v>0</v>
      </c>
      <c r="M2" s="2" t="s">
        <v>0</v>
      </c>
      <c r="N2" s="2"/>
      <c r="O2" s="2" t="s">
        <v>21</v>
      </c>
      <c r="P2" s="2" t="s">
        <v>0</v>
      </c>
      <c r="Q2" s="2" t="s">
        <v>21</v>
      </c>
      <c r="R2" s="2" t="s">
        <v>0</v>
      </c>
      <c r="S2" s="2" t="s">
        <v>21</v>
      </c>
      <c r="T2" s="2" t="s">
        <v>0</v>
      </c>
      <c r="U2" s="2" t="s">
        <v>21</v>
      </c>
      <c r="V2" s="2" t="s">
        <v>0</v>
      </c>
      <c r="W2" s="2" t="s">
        <v>21</v>
      </c>
      <c r="Y2" s="2" t="s">
        <v>21</v>
      </c>
      <c r="Z2" s="2" t="s">
        <v>21</v>
      </c>
      <c r="AA2" s="2" t="s">
        <v>90</v>
      </c>
      <c r="AB2" s="2" t="s">
        <v>90</v>
      </c>
      <c r="AC2" s="2" t="s">
        <v>0</v>
      </c>
      <c r="AD2" s="2" t="s">
        <v>0</v>
      </c>
    </row>
    <row r="3" spans="1:37" x14ac:dyDescent="0.25">
      <c r="A3" t="s">
        <v>336</v>
      </c>
      <c r="B3">
        <v>32</v>
      </c>
      <c r="C3" t="s">
        <v>52</v>
      </c>
      <c r="D3">
        <v>5477</v>
      </c>
      <c r="E3">
        <v>65437050</v>
      </c>
      <c r="F3">
        <v>205</v>
      </c>
      <c r="G3">
        <v>7850</v>
      </c>
      <c r="H3">
        <v>1</v>
      </c>
      <c r="I3">
        <v>3000</v>
      </c>
      <c r="N3">
        <v>2</v>
      </c>
      <c r="O3">
        <v>100</v>
      </c>
      <c r="P3">
        <v>2000</v>
      </c>
      <c r="Q3">
        <v>100</v>
      </c>
      <c r="Y3" s="15"/>
      <c r="Z3" s="15"/>
      <c r="AA3" s="15"/>
      <c r="AB3" s="15"/>
      <c r="AC3" s="15"/>
      <c r="AD3" s="15"/>
      <c r="AF3" s="15"/>
      <c r="AG3" s="15"/>
      <c r="AH3" s="15"/>
      <c r="AI3" s="15"/>
      <c r="AJ3" s="15"/>
      <c r="AK3" s="15"/>
    </row>
    <row r="4" spans="1:37" x14ac:dyDescent="0.25">
      <c r="A4" t="s">
        <v>337</v>
      </c>
      <c r="B4">
        <v>16</v>
      </c>
      <c r="C4" t="s">
        <v>52</v>
      </c>
      <c r="D4">
        <v>44513</v>
      </c>
      <c r="E4">
        <v>7229654319</v>
      </c>
      <c r="F4">
        <v>205</v>
      </c>
      <c r="G4">
        <v>7850</v>
      </c>
      <c r="H4">
        <v>3</v>
      </c>
      <c r="I4">
        <v>15000</v>
      </c>
      <c r="J4">
        <v>20000</v>
      </c>
      <c r="K4">
        <v>15000</v>
      </c>
      <c r="N4">
        <v>5</v>
      </c>
      <c r="O4">
        <v>350</v>
      </c>
      <c r="P4">
        <v>3000</v>
      </c>
      <c r="Q4">
        <v>350</v>
      </c>
      <c r="R4">
        <v>6000</v>
      </c>
      <c r="S4">
        <v>200</v>
      </c>
      <c r="T4">
        <v>6000</v>
      </c>
      <c r="U4">
        <v>200</v>
      </c>
      <c r="V4">
        <v>2000</v>
      </c>
      <c r="W4">
        <v>300</v>
      </c>
      <c r="Y4" s="15"/>
      <c r="Z4" s="15"/>
      <c r="AA4" s="15"/>
      <c r="AB4" s="15"/>
      <c r="AC4" s="15"/>
      <c r="AD4" s="15"/>
      <c r="AF4" s="15"/>
      <c r="AG4" s="15"/>
      <c r="AH4" s="15"/>
      <c r="AI4" s="15"/>
      <c r="AJ4" s="15"/>
      <c r="AK4" s="15"/>
    </row>
    <row r="5" spans="1:37" x14ac:dyDescent="0.25">
      <c r="A5" t="s">
        <v>338</v>
      </c>
      <c r="B5">
        <v>8</v>
      </c>
      <c r="C5" t="s">
        <v>52</v>
      </c>
      <c r="D5">
        <v>1652</v>
      </c>
      <c r="E5">
        <v>4734369</v>
      </c>
      <c r="F5">
        <v>205</v>
      </c>
      <c r="G5">
        <v>7850</v>
      </c>
      <c r="H5">
        <v>5</v>
      </c>
      <c r="I5">
        <v>3000</v>
      </c>
      <c r="J5">
        <v>2000</v>
      </c>
      <c r="K5">
        <v>3000</v>
      </c>
      <c r="L5">
        <v>2000</v>
      </c>
      <c r="M5">
        <v>3000</v>
      </c>
      <c r="N5">
        <v>4</v>
      </c>
      <c r="O5">
        <v>100</v>
      </c>
      <c r="P5">
        <v>1500</v>
      </c>
      <c r="Q5">
        <v>100</v>
      </c>
      <c r="R5">
        <v>2000</v>
      </c>
      <c r="S5">
        <v>75</v>
      </c>
      <c r="T5">
        <v>2000</v>
      </c>
      <c r="U5">
        <v>75</v>
      </c>
      <c r="Y5" s="15"/>
      <c r="Z5" s="15"/>
      <c r="AA5" s="15"/>
      <c r="AB5" s="15"/>
      <c r="AC5" s="15"/>
      <c r="AD5" s="15"/>
      <c r="AF5" s="15"/>
      <c r="AG5" s="15"/>
      <c r="AH5" s="15"/>
      <c r="AI5" s="15"/>
      <c r="AJ5" s="15"/>
      <c r="AK5" s="15"/>
    </row>
    <row r="6" spans="1:37" x14ac:dyDescent="0.25">
      <c r="A6" t="s">
        <v>342</v>
      </c>
      <c r="B6">
        <v>32</v>
      </c>
      <c r="C6" t="s">
        <v>52</v>
      </c>
      <c r="D6">
        <v>5477</v>
      </c>
      <c r="E6">
        <v>65437050</v>
      </c>
      <c r="F6">
        <v>205</v>
      </c>
      <c r="G6">
        <v>7850</v>
      </c>
      <c r="H6">
        <v>1</v>
      </c>
      <c r="I6">
        <v>3000</v>
      </c>
      <c r="N6">
        <v>2</v>
      </c>
      <c r="O6">
        <v>100</v>
      </c>
      <c r="P6">
        <v>2000</v>
      </c>
      <c r="Q6">
        <v>100</v>
      </c>
      <c r="Y6" s="15"/>
      <c r="Z6" s="15"/>
      <c r="AA6" s="15"/>
      <c r="AB6" s="15"/>
      <c r="AC6" s="15"/>
      <c r="AD6" s="15"/>
      <c r="AF6" s="15"/>
      <c r="AG6" s="15"/>
      <c r="AH6" s="15"/>
      <c r="AI6" s="15"/>
      <c r="AJ6" s="15"/>
      <c r="AK6" s="15"/>
    </row>
    <row r="7" spans="1:37" x14ac:dyDescent="0.25">
      <c r="A7" t="s">
        <v>343</v>
      </c>
      <c r="B7">
        <v>16</v>
      </c>
      <c r="C7" t="s">
        <v>52</v>
      </c>
      <c r="D7">
        <v>44515</v>
      </c>
      <c r="E7">
        <v>7229654319</v>
      </c>
      <c r="F7">
        <v>205</v>
      </c>
      <c r="G7">
        <v>7850</v>
      </c>
      <c r="H7">
        <v>3</v>
      </c>
      <c r="I7">
        <v>15000</v>
      </c>
      <c r="J7">
        <v>20000</v>
      </c>
      <c r="K7">
        <v>15000</v>
      </c>
      <c r="N7">
        <v>5</v>
      </c>
      <c r="O7">
        <v>350</v>
      </c>
      <c r="P7">
        <v>3000</v>
      </c>
      <c r="Q7">
        <v>350</v>
      </c>
      <c r="R7">
        <v>6000</v>
      </c>
      <c r="S7">
        <v>200</v>
      </c>
      <c r="T7">
        <v>6000</v>
      </c>
      <c r="U7">
        <v>200</v>
      </c>
      <c r="V7">
        <v>2000</v>
      </c>
      <c r="W7">
        <v>300</v>
      </c>
      <c r="Y7" s="15"/>
      <c r="Z7" s="15"/>
      <c r="AA7" s="15"/>
      <c r="AB7" s="15"/>
      <c r="AC7" s="15"/>
      <c r="AD7" s="15"/>
      <c r="AF7" s="15"/>
      <c r="AG7" s="15"/>
      <c r="AH7" s="15"/>
      <c r="AI7" s="15"/>
      <c r="AJ7" s="15"/>
      <c r="AK7" s="15"/>
    </row>
    <row r="8" spans="1:37" x14ac:dyDescent="0.25">
      <c r="A8" t="s">
        <v>344</v>
      </c>
      <c r="B8">
        <v>8</v>
      </c>
      <c r="C8" t="s">
        <v>52</v>
      </c>
      <c r="D8">
        <v>1652</v>
      </c>
      <c r="E8">
        <v>4734369</v>
      </c>
      <c r="F8">
        <v>205</v>
      </c>
      <c r="G8">
        <v>7850</v>
      </c>
      <c r="H8">
        <v>5</v>
      </c>
      <c r="I8">
        <v>3000</v>
      </c>
      <c r="J8">
        <v>2000</v>
      </c>
      <c r="K8">
        <v>3000</v>
      </c>
      <c r="L8">
        <v>2000</v>
      </c>
      <c r="M8">
        <v>3000</v>
      </c>
      <c r="N8">
        <v>4</v>
      </c>
      <c r="O8">
        <v>100</v>
      </c>
      <c r="P8">
        <v>1500</v>
      </c>
      <c r="Q8">
        <v>100</v>
      </c>
      <c r="R8">
        <v>2000</v>
      </c>
      <c r="S8">
        <v>75</v>
      </c>
      <c r="T8">
        <v>2000</v>
      </c>
      <c r="U8">
        <v>75</v>
      </c>
      <c r="Y8" s="15"/>
      <c r="Z8" s="15"/>
      <c r="AA8" s="15"/>
      <c r="AB8" s="15"/>
      <c r="AC8" s="15"/>
      <c r="AD8" s="15"/>
      <c r="AF8" s="15"/>
      <c r="AG8" s="15"/>
      <c r="AH8" s="15"/>
      <c r="AI8" s="15"/>
      <c r="AJ8" s="15"/>
      <c r="AK8" s="15"/>
    </row>
    <row r="9" spans="1:37" x14ac:dyDescent="0.25">
      <c r="A9" t="s">
        <v>339</v>
      </c>
      <c r="B9">
        <v>32</v>
      </c>
      <c r="C9" t="s">
        <v>52</v>
      </c>
      <c r="D9">
        <v>4011</v>
      </c>
      <c r="E9">
        <v>44690000</v>
      </c>
      <c r="F9">
        <v>200</v>
      </c>
      <c r="G9">
        <v>7850</v>
      </c>
      <c r="H9">
        <v>1</v>
      </c>
      <c r="I9">
        <v>3000</v>
      </c>
      <c r="N9">
        <v>2</v>
      </c>
      <c r="O9">
        <v>100</v>
      </c>
      <c r="P9">
        <v>2000</v>
      </c>
      <c r="Q9">
        <v>100</v>
      </c>
      <c r="Y9" s="15"/>
      <c r="Z9" s="15"/>
      <c r="AA9" s="15"/>
      <c r="AB9" s="15"/>
      <c r="AC9" s="15"/>
      <c r="AD9" s="15"/>
      <c r="AF9" s="15"/>
      <c r="AG9" s="15"/>
      <c r="AH9" s="15"/>
      <c r="AI9" s="15"/>
      <c r="AJ9" s="15"/>
      <c r="AK9" s="15"/>
    </row>
    <row r="10" spans="1:37" x14ac:dyDescent="0.25">
      <c r="A10" t="s">
        <v>340</v>
      </c>
      <c r="B10">
        <v>16</v>
      </c>
      <c r="C10" t="s">
        <v>52</v>
      </c>
      <c r="D10">
        <v>43520</v>
      </c>
      <c r="E10">
        <v>10370000000</v>
      </c>
      <c r="F10">
        <v>200</v>
      </c>
      <c r="G10">
        <v>7850</v>
      </c>
      <c r="H10">
        <v>3</v>
      </c>
      <c r="I10">
        <v>15000</v>
      </c>
      <c r="J10">
        <v>20000</v>
      </c>
      <c r="K10">
        <v>15000</v>
      </c>
      <c r="N10">
        <v>5</v>
      </c>
      <c r="O10">
        <v>350</v>
      </c>
      <c r="P10">
        <v>3000</v>
      </c>
      <c r="Q10">
        <v>350</v>
      </c>
      <c r="R10">
        <v>6000</v>
      </c>
      <c r="S10">
        <v>200</v>
      </c>
      <c r="T10">
        <v>6000</v>
      </c>
      <c r="U10">
        <v>200</v>
      </c>
      <c r="V10">
        <v>2000</v>
      </c>
      <c r="W10">
        <v>300</v>
      </c>
      <c r="Y10" s="15"/>
      <c r="Z10" s="15"/>
      <c r="AA10" s="15"/>
      <c r="AB10" s="15"/>
      <c r="AC10" s="15"/>
      <c r="AD10" s="15"/>
      <c r="AF10" s="15"/>
      <c r="AG10" s="15"/>
      <c r="AH10" s="15"/>
      <c r="AI10" s="15"/>
      <c r="AJ10" s="15"/>
      <c r="AK10" s="15"/>
    </row>
    <row r="11" spans="1:37" x14ac:dyDescent="0.25">
      <c r="A11" t="s">
        <v>341</v>
      </c>
      <c r="B11">
        <v>8</v>
      </c>
      <c r="C11" t="s">
        <v>52</v>
      </c>
      <c r="D11">
        <v>1785</v>
      </c>
      <c r="E11">
        <v>6661000</v>
      </c>
      <c r="F11">
        <v>200</v>
      </c>
      <c r="G11">
        <v>7850</v>
      </c>
      <c r="H11">
        <v>5</v>
      </c>
      <c r="I11">
        <v>3000</v>
      </c>
      <c r="J11">
        <v>2000</v>
      </c>
      <c r="K11">
        <v>3000</v>
      </c>
      <c r="L11">
        <v>2000</v>
      </c>
      <c r="M11">
        <v>3000</v>
      </c>
      <c r="N11">
        <v>4</v>
      </c>
      <c r="O11">
        <v>100</v>
      </c>
      <c r="P11">
        <v>1500</v>
      </c>
      <c r="Q11">
        <v>100</v>
      </c>
      <c r="R11">
        <v>2000</v>
      </c>
      <c r="S11">
        <v>75</v>
      </c>
      <c r="T11">
        <v>2000</v>
      </c>
      <c r="U11">
        <v>75</v>
      </c>
      <c r="Y11" s="15"/>
      <c r="Z11" s="15"/>
      <c r="AA11" s="15"/>
      <c r="AB11" s="15"/>
      <c r="AC11" s="15"/>
      <c r="AD11" s="15"/>
      <c r="AF11" s="15"/>
      <c r="AG11" s="15"/>
      <c r="AH11" s="15"/>
      <c r="AI11" s="15"/>
      <c r="AJ11" s="15"/>
      <c r="AK11" s="15"/>
    </row>
  </sheetData>
  <pageMargins left="0.7" right="0.7" top="0.75" bottom="0.75" header="0.3" footer="0.3"/>
  <pageSetup orientation="portrait" horizontalDpi="300" verticalDpi="0" copies="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3"/>
  <dimension ref="A1:AL11"/>
  <sheetViews>
    <sheetView topLeftCell="J1" workbookViewId="0">
      <selection activeCell="Z3" sqref="Z3:AE5"/>
    </sheetView>
  </sheetViews>
  <sheetFormatPr defaultRowHeight="15" x14ac:dyDescent="0.25"/>
  <cols>
    <col min="1" max="1" width="22.28515625" bestFit="1" customWidth="1"/>
    <col min="2" max="2" width="13.7109375" bestFit="1" customWidth="1"/>
    <col min="3" max="3" width="17.5703125" bestFit="1" customWidth="1"/>
    <col min="4" max="4" width="11.85546875" bestFit="1" customWidth="1"/>
    <col min="5" max="6" width="6.140625" bestFit="1" customWidth="1"/>
    <col min="7" max="7" width="6" bestFit="1" customWidth="1"/>
    <col min="8" max="8" width="9.140625" bestFit="1" customWidth="1"/>
    <col min="9" max="9" width="9" bestFit="1" customWidth="1"/>
    <col min="10" max="14" width="6.140625" bestFit="1" customWidth="1"/>
    <col min="15" max="15" width="9.5703125" bestFit="1" customWidth="1"/>
    <col min="16" max="16" width="12.140625" bestFit="1" customWidth="1"/>
    <col min="17" max="17" width="5.5703125" bestFit="1" customWidth="1"/>
    <col min="18" max="18" width="12.140625" bestFit="1" customWidth="1"/>
    <col min="19" max="19" width="5.5703125" bestFit="1" customWidth="1"/>
    <col min="20" max="20" width="12.140625" bestFit="1" customWidth="1"/>
    <col min="21" max="21" width="5.5703125" bestFit="1" customWidth="1"/>
    <col min="22" max="22" width="12.140625" bestFit="1" customWidth="1"/>
    <col min="23" max="23" width="5.5703125" bestFit="1" customWidth="1"/>
    <col min="24" max="24" width="12.140625" bestFit="1" customWidth="1"/>
    <col min="25" max="26" width="10.5703125" bestFit="1" customWidth="1"/>
    <col min="27" max="27" width="10.28515625" bestFit="1" customWidth="1"/>
    <col min="28" max="28" width="11" bestFit="1" customWidth="1"/>
    <col min="29" max="29" width="10.7109375" bestFit="1" customWidth="1"/>
    <col min="30" max="30" width="12.140625" bestFit="1" customWidth="1"/>
    <col min="31" max="31" width="11.85546875" bestFit="1" customWidth="1"/>
  </cols>
  <sheetData>
    <row r="1" spans="1:38" x14ac:dyDescent="0.25">
      <c r="A1" s="2" t="s">
        <v>328</v>
      </c>
      <c r="B1" s="2" t="s">
        <v>323</v>
      </c>
      <c r="C1" s="2" t="s">
        <v>335</v>
      </c>
      <c r="D1" s="2" t="s">
        <v>299</v>
      </c>
      <c r="E1" s="2" t="s">
        <v>300</v>
      </c>
      <c r="F1" s="2" t="s">
        <v>301</v>
      </c>
      <c r="G1" s="2" t="s">
        <v>302</v>
      </c>
      <c r="H1" s="2" t="s">
        <v>15</v>
      </c>
      <c r="I1" s="2" t="s">
        <v>303</v>
      </c>
      <c r="J1" s="2" t="s">
        <v>73</v>
      </c>
      <c r="K1" s="2" t="s">
        <v>304</v>
      </c>
      <c r="L1" s="2" t="s">
        <v>305</v>
      </c>
      <c r="M1" s="2" t="s">
        <v>306</v>
      </c>
      <c r="N1" s="2" t="s">
        <v>307</v>
      </c>
      <c r="O1" s="2" t="s">
        <v>322</v>
      </c>
      <c r="P1" s="2" t="s">
        <v>311</v>
      </c>
      <c r="Q1" s="2" t="s">
        <v>324</v>
      </c>
      <c r="R1" s="2" t="s">
        <v>312</v>
      </c>
      <c r="S1" s="2" t="s">
        <v>325</v>
      </c>
      <c r="T1" s="2" t="s">
        <v>313</v>
      </c>
      <c r="U1" s="2" t="s">
        <v>326</v>
      </c>
      <c r="V1" s="2" t="s">
        <v>314</v>
      </c>
      <c r="W1" s="2" t="s">
        <v>327</v>
      </c>
      <c r="X1" s="2" t="s">
        <v>315</v>
      </c>
      <c r="Z1" s="2" t="s">
        <v>332</v>
      </c>
      <c r="AA1" s="2" t="s">
        <v>333</v>
      </c>
      <c r="AB1" s="2" t="s">
        <v>318</v>
      </c>
      <c r="AC1" s="2" t="s">
        <v>319</v>
      </c>
      <c r="AD1" s="2" t="s">
        <v>320</v>
      </c>
      <c r="AE1" s="2" t="s">
        <v>321</v>
      </c>
    </row>
    <row r="2" spans="1:38" x14ac:dyDescent="0.25">
      <c r="A2" s="2"/>
      <c r="B2" s="2"/>
      <c r="C2" s="2"/>
      <c r="D2" s="2"/>
      <c r="E2" s="2" t="s">
        <v>329</v>
      </c>
      <c r="F2" s="2" t="s">
        <v>330</v>
      </c>
      <c r="G2" s="2" t="s">
        <v>331</v>
      </c>
      <c r="H2" s="2" t="s">
        <v>345</v>
      </c>
      <c r="I2" s="2"/>
      <c r="J2" s="2" t="s">
        <v>40</v>
      </c>
      <c r="K2" s="2" t="s">
        <v>40</v>
      </c>
      <c r="L2" s="2" t="s">
        <v>40</v>
      </c>
      <c r="M2" s="2" t="s">
        <v>40</v>
      </c>
      <c r="N2" s="2" t="s">
        <v>40</v>
      </c>
      <c r="O2" s="2"/>
      <c r="P2" s="2" t="s">
        <v>41</v>
      </c>
      <c r="Q2" s="2" t="s">
        <v>40</v>
      </c>
      <c r="R2" s="2" t="s">
        <v>41</v>
      </c>
      <c r="S2" s="2" t="s">
        <v>40</v>
      </c>
      <c r="T2" s="2" t="s">
        <v>41</v>
      </c>
      <c r="U2" s="2" t="s">
        <v>40</v>
      </c>
      <c r="V2" s="2" t="s">
        <v>41</v>
      </c>
      <c r="W2" s="2" t="s">
        <v>40</v>
      </c>
      <c r="X2" s="2" t="s">
        <v>41</v>
      </c>
      <c r="Z2" s="2" t="s">
        <v>41</v>
      </c>
      <c r="AA2" s="2" t="s">
        <v>41</v>
      </c>
      <c r="AB2" s="2" t="s">
        <v>334</v>
      </c>
      <c r="AC2" s="2" t="s">
        <v>334</v>
      </c>
      <c r="AD2" s="2" t="s">
        <v>179</v>
      </c>
      <c r="AE2" s="2" t="s">
        <v>179</v>
      </c>
    </row>
    <row r="3" spans="1:38" x14ac:dyDescent="0.25">
      <c r="A3" t="s">
        <v>347</v>
      </c>
      <c r="B3" t="s">
        <v>48</v>
      </c>
      <c r="C3">
        <v>8</v>
      </c>
      <c r="D3" t="s">
        <v>52</v>
      </c>
      <c r="E3">
        <v>13</v>
      </c>
      <c r="F3">
        <v>248</v>
      </c>
      <c r="G3">
        <v>29000</v>
      </c>
      <c r="H3">
        <v>490</v>
      </c>
      <c r="I3">
        <v>1</v>
      </c>
      <c r="J3">
        <v>10</v>
      </c>
      <c r="O3">
        <v>2</v>
      </c>
      <c r="P3">
        <v>22</v>
      </c>
      <c r="Q3">
        <v>7</v>
      </c>
      <c r="R3">
        <v>22</v>
      </c>
      <c r="Z3" s="15"/>
      <c r="AA3" s="15"/>
      <c r="AB3" s="15"/>
      <c r="AC3" s="15"/>
      <c r="AD3" s="15"/>
      <c r="AE3" s="15"/>
    </row>
    <row r="4" spans="1:38" x14ac:dyDescent="0.25">
      <c r="A4" t="s">
        <v>346</v>
      </c>
      <c r="B4" t="s">
        <v>48</v>
      </c>
      <c r="C4">
        <v>8</v>
      </c>
      <c r="D4" t="s">
        <v>52</v>
      </c>
      <c r="E4">
        <v>62</v>
      </c>
      <c r="F4">
        <v>13200</v>
      </c>
      <c r="G4">
        <v>29000</v>
      </c>
      <c r="H4">
        <v>490</v>
      </c>
      <c r="I4">
        <v>3</v>
      </c>
      <c r="J4">
        <v>39</v>
      </c>
      <c r="K4">
        <v>39</v>
      </c>
      <c r="L4">
        <v>39</v>
      </c>
      <c r="O4">
        <v>2</v>
      </c>
      <c r="P4">
        <v>14</v>
      </c>
      <c r="Q4">
        <v>15</v>
      </c>
      <c r="R4">
        <v>14</v>
      </c>
      <c r="Z4" s="15"/>
      <c r="AA4" s="15"/>
      <c r="AB4" s="15"/>
      <c r="AC4" s="15"/>
      <c r="AD4" s="15"/>
      <c r="AE4" s="15"/>
      <c r="AG4" s="15"/>
      <c r="AH4" s="15"/>
      <c r="AI4" s="15"/>
      <c r="AJ4" s="15"/>
      <c r="AK4" s="15"/>
      <c r="AL4" s="15"/>
    </row>
    <row r="5" spans="1:38" x14ac:dyDescent="0.25">
      <c r="A5" t="s">
        <v>348</v>
      </c>
      <c r="B5" t="s">
        <v>48</v>
      </c>
      <c r="C5">
        <v>8</v>
      </c>
      <c r="D5" t="s">
        <v>52</v>
      </c>
      <c r="E5">
        <v>99</v>
      </c>
      <c r="F5">
        <v>31100</v>
      </c>
      <c r="G5">
        <v>29000</v>
      </c>
      <c r="H5">
        <v>490</v>
      </c>
      <c r="I5">
        <v>5</v>
      </c>
      <c r="J5">
        <v>10</v>
      </c>
      <c r="K5">
        <v>6.5</v>
      </c>
      <c r="L5">
        <v>10</v>
      </c>
      <c r="M5">
        <v>6.5</v>
      </c>
      <c r="N5">
        <v>10</v>
      </c>
      <c r="O5">
        <v>4</v>
      </c>
      <c r="P5">
        <v>22</v>
      </c>
      <c r="Q5">
        <v>5</v>
      </c>
      <c r="R5">
        <v>22</v>
      </c>
      <c r="S5">
        <v>7</v>
      </c>
      <c r="T5">
        <v>17</v>
      </c>
      <c r="U5">
        <v>7</v>
      </c>
      <c r="V5">
        <v>17</v>
      </c>
      <c r="Z5" s="15"/>
      <c r="AA5" s="15"/>
      <c r="AB5" s="15"/>
      <c r="AC5" s="15"/>
      <c r="AD5" s="15"/>
      <c r="AE5" s="15"/>
    </row>
    <row r="6" spans="1:38" x14ac:dyDescent="0.25">
      <c r="Y6" s="15"/>
      <c r="Z6" s="15"/>
      <c r="AA6" s="15"/>
      <c r="AB6" s="15"/>
      <c r="AC6" s="15"/>
      <c r="AD6" s="15"/>
    </row>
    <row r="7" spans="1:38" x14ac:dyDescent="0.25">
      <c r="Y7" s="15"/>
      <c r="Z7" s="15"/>
      <c r="AA7" s="15"/>
      <c r="AB7" s="15"/>
      <c r="AC7" s="15"/>
      <c r="AD7" s="15"/>
    </row>
    <row r="8" spans="1:38" x14ac:dyDescent="0.25">
      <c r="Y8" s="15"/>
      <c r="Z8" s="15"/>
      <c r="AA8" s="15"/>
      <c r="AB8" s="15"/>
      <c r="AC8" s="15"/>
      <c r="AD8" s="15"/>
    </row>
    <row r="9" spans="1:38" x14ac:dyDescent="0.25">
      <c r="Y9" s="15"/>
      <c r="Z9" s="15"/>
      <c r="AA9" s="15"/>
      <c r="AB9" s="15"/>
      <c r="AC9" s="15"/>
      <c r="AD9" s="15"/>
    </row>
    <row r="10" spans="1:38" x14ac:dyDescent="0.25">
      <c r="Y10" s="15"/>
      <c r="Z10" s="15"/>
      <c r="AA10" s="15"/>
      <c r="AB10" s="15"/>
      <c r="AC10" s="15"/>
      <c r="AD10" s="15"/>
    </row>
    <row r="11" spans="1:38" x14ac:dyDescent="0.25">
      <c r="Y11" s="15"/>
      <c r="Z11" s="15"/>
      <c r="AA11" s="15"/>
      <c r="AB11" s="15"/>
      <c r="AC11" s="15"/>
      <c r="AD11" s="15"/>
    </row>
  </sheetData>
  <pageMargins left="0.7" right="0.7" top="0.75" bottom="0.75" header="0.3" footer="0.3"/>
  <pageSetup orientation="portrait" horizontalDpi="300" verticalDpi="0" copies="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31"/>
  <dimension ref="A1:AD19"/>
  <sheetViews>
    <sheetView zoomScaleNormal="100" workbookViewId="0">
      <selection activeCell="B6" sqref="B6"/>
    </sheetView>
  </sheetViews>
  <sheetFormatPr defaultRowHeight="15" x14ac:dyDescent="0.25"/>
  <cols>
    <col min="1" max="1" width="16.28515625" style="11" customWidth="1"/>
    <col min="2" max="2" width="12" customWidth="1"/>
    <col min="3" max="3" width="10.28515625" customWidth="1"/>
    <col min="4" max="4" width="16.140625" customWidth="1"/>
    <col min="5" max="5" width="22.42578125" customWidth="1"/>
    <col min="6" max="6" width="22.5703125" customWidth="1"/>
    <col min="7" max="7" width="23" customWidth="1"/>
    <col min="8" max="8" width="21.5703125" customWidth="1"/>
    <col min="9" max="9" width="21.140625" customWidth="1"/>
    <col min="10" max="10" width="22.7109375" customWidth="1"/>
    <col min="13" max="13" width="7.5703125" customWidth="1"/>
    <col min="14" max="16" width="8.28515625" customWidth="1"/>
    <col min="17" max="17" width="10.5703125" customWidth="1"/>
    <col min="18" max="18" width="13.140625" customWidth="1"/>
    <col min="19" max="19" width="8.7109375" style="11" customWidth="1"/>
    <col min="20" max="20" width="10.28515625" style="11" customWidth="1"/>
    <col min="25" max="25" width="13" customWidth="1"/>
    <col min="26" max="26" width="11.5703125" customWidth="1"/>
    <col min="27" max="27" width="14.7109375" customWidth="1"/>
  </cols>
  <sheetData>
    <row r="1" spans="1:30" x14ac:dyDescent="0.25">
      <c r="A1" s="2" t="s">
        <v>353</v>
      </c>
      <c r="B1" s="2" t="s">
        <v>354</v>
      </c>
      <c r="C1" s="2" t="s">
        <v>355</v>
      </c>
      <c r="D1" s="2" t="s">
        <v>356</v>
      </c>
      <c r="E1" s="2" t="s">
        <v>357</v>
      </c>
      <c r="F1" s="2" t="s">
        <v>358</v>
      </c>
      <c r="G1" s="2" t="s">
        <v>359</v>
      </c>
      <c r="H1" s="2" t="s">
        <v>360</v>
      </c>
      <c r="I1" s="2" t="s">
        <v>361</v>
      </c>
      <c r="J1" s="2" t="s">
        <v>362</v>
      </c>
      <c r="K1" s="2" t="s">
        <v>363</v>
      </c>
      <c r="L1" s="2" t="s">
        <v>364</v>
      </c>
      <c r="M1" s="2" t="s">
        <v>365</v>
      </c>
      <c r="N1" s="2" t="s">
        <v>366</v>
      </c>
      <c r="O1" s="2" t="s">
        <v>367</v>
      </c>
      <c r="P1" s="2" t="s">
        <v>368</v>
      </c>
      <c r="Q1" s="2" t="s">
        <v>369</v>
      </c>
      <c r="R1" s="2" t="s">
        <v>370</v>
      </c>
      <c r="S1" s="2" t="s">
        <v>371</v>
      </c>
      <c r="T1" s="2" t="s">
        <v>372</v>
      </c>
      <c r="U1" s="2" t="s">
        <v>373</v>
      </c>
      <c r="V1" s="2" t="s">
        <v>374</v>
      </c>
      <c r="W1" s="2" t="s">
        <v>375</v>
      </c>
      <c r="X1" s="2" t="s">
        <v>376</v>
      </c>
      <c r="Y1" s="2" t="s">
        <v>377</v>
      </c>
      <c r="Z1" s="2" t="s">
        <v>378</v>
      </c>
      <c r="AA1" s="2" t="s">
        <v>379</v>
      </c>
      <c r="AB1" s="2" t="s">
        <v>380</v>
      </c>
      <c r="AC1" s="2" t="s">
        <v>381</v>
      </c>
      <c r="AD1" s="2" t="s">
        <v>382</v>
      </c>
    </row>
    <row r="2" spans="1:30" x14ac:dyDescent="0.25">
      <c r="A2" s="2"/>
      <c r="B2" s="2"/>
      <c r="C2" s="2"/>
      <c r="D2" s="2"/>
      <c r="E2" s="2"/>
      <c r="F2" s="2"/>
      <c r="G2" s="2"/>
      <c r="H2" s="2"/>
      <c r="I2" s="2"/>
      <c r="J2" s="2"/>
      <c r="K2" s="2" t="s">
        <v>21</v>
      </c>
      <c r="L2" s="2" t="s">
        <v>21</v>
      </c>
      <c r="M2" s="2" t="s">
        <v>0</v>
      </c>
      <c r="N2" s="2" t="s">
        <v>0</v>
      </c>
      <c r="O2" s="2" t="s">
        <v>0</v>
      </c>
      <c r="P2" s="2" t="s">
        <v>0</v>
      </c>
      <c r="Q2" s="2"/>
      <c r="R2" s="2"/>
      <c r="S2" s="2"/>
      <c r="T2" s="2"/>
      <c r="U2" s="2" t="s">
        <v>0</v>
      </c>
      <c r="V2" s="2" t="s">
        <v>0</v>
      </c>
      <c r="W2" s="2" t="s">
        <v>0</v>
      </c>
      <c r="X2" s="2" t="s">
        <v>0</v>
      </c>
      <c r="Y2" s="2" t="s">
        <v>0</v>
      </c>
      <c r="Z2" s="2"/>
      <c r="AA2" s="2"/>
      <c r="AB2" s="2" t="s">
        <v>0</v>
      </c>
      <c r="AC2" s="2" t="s">
        <v>0</v>
      </c>
      <c r="AD2" s="2" t="s">
        <v>0</v>
      </c>
    </row>
    <row r="3" spans="1:30" x14ac:dyDescent="0.25">
      <c r="A3" t="s">
        <v>383</v>
      </c>
      <c r="B3" t="s">
        <v>384</v>
      </c>
      <c r="D3" t="s">
        <v>385</v>
      </c>
      <c r="E3" t="s">
        <v>386</v>
      </c>
      <c r="F3" t="s">
        <v>387</v>
      </c>
      <c r="G3" t="s">
        <v>211</v>
      </c>
      <c r="H3" t="s">
        <v>386</v>
      </c>
      <c r="I3" t="s">
        <v>388</v>
      </c>
      <c r="J3" t="s">
        <v>211</v>
      </c>
      <c r="K3">
        <v>250</v>
      </c>
      <c r="L3">
        <v>100</v>
      </c>
      <c r="M3">
        <v>12</v>
      </c>
      <c r="N3">
        <v>320</v>
      </c>
      <c r="O3">
        <v>220</v>
      </c>
      <c r="P3">
        <v>8</v>
      </c>
      <c r="Q3">
        <v>4</v>
      </c>
      <c r="R3" t="s">
        <v>211</v>
      </c>
      <c r="S3" t="s">
        <v>389</v>
      </c>
      <c r="T3" t="s">
        <v>390</v>
      </c>
      <c r="U3">
        <v>40</v>
      </c>
      <c r="V3">
        <v>40</v>
      </c>
      <c r="W3">
        <v>80</v>
      </c>
      <c r="X3">
        <v>140</v>
      </c>
      <c r="Y3">
        <v>50</v>
      </c>
      <c r="Z3">
        <v>1</v>
      </c>
      <c r="AA3">
        <v>0</v>
      </c>
      <c r="AB3">
        <v>50</v>
      </c>
      <c r="AD3">
        <v>150</v>
      </c>
    </row>
    <row r="4" spans="1:30" x14ac:dyDescent="0.25">
      <c r="A4" t="s">
        <v>391</v>
      </c>
      <c r="B4" t="s">
        <v>392</v>
      </c>
      <c r="C4" t="s">
        <v>393</v>
      </c>
      <c r="D4" t="s">
        <v>385</v>
      </c>
      <c r="E4" t="s">
        <v>394</v>
      </c>
      <c r="F4" t="s">
        <v>395</v>
      </c>
      <c r="G4" t="s">
        <v>216</v>
      </c>
      <c r="H4" t="s">
        <v>386</v>
      </c>
      <c r="I4" t="s">
        <v>396</v>
      </c>
      <c r="J4" t="s">
        <v>216</v>
      </c>
      <c r="K4">
        <v>150</v>
      </c>
      <c r="L4">
        <v>75</v>
      </c>
      <c r="M4">
        <v>10</v>
      </c>
      <c r="N4">
        <v>220</v>
      </c>
      <c r="O4">
        <v>150</v>
      </c>
      <c r="P4">
        <v>6</v>
      </c>
      <c r="Q4">
        <v>3</v>
      </c>
      <c r="R4" t="s">
        <v>211</v>
      </c>
      <c r="S4" t="s">
        <v>389</v>
      </c>
      <c r="T4" t="s">
        <v>390</v>
      </c>
      <c r="U4">
        <v>40</v>
      </c>
      <c r="V4">
        <v>30</v>
      </c>
      <c r="W4">
        <v>70</v>
      </c>
      <c r="X4">
        <v>90</v>
      </c>
      <c r="Y4">
        <v>50</v>
      </c>
      <c r="Z4">
        <v>0</v>
      </c>
      <c r="AA4">
        <v>0</v>
      </c>
    </row>
    <row r="5" spans="1:30" x14ac:dyDescent="0.25">
      <c r="A5" t="s">
        <v>397</v>
      </c>
      <c r="B5" t="s">
        <v>392</v>
      </c>
      <c r="C5" t="s">
        <v>398</v>
      </c>
      <c r="D5" t="s">
        <v>385</v>
      </c>
      <c r="E5" t="s">
        <v>394</v>
      </c>
      <c r="F5" t="s">
        <v>399</v>
      </c>
      <c r="G5" t="s">
        <v>211</v>
      </c>
      <c r="H5" t="s">
        <v>386</v>
      </c>
      <c r="I5" t="s">
        <v>400</v>
      </c>
      <c r="J5" t="s">
        <v>211</v>
      </c>
      <c r="K5">
        <v>85</v>
      </c>
      <c r="L5">
        <v>60</v>
      </c>
      <c r="M5">
        <v>10</v>
      </c>
      <c r="N5">
        <v>220</v>
      </c>
      <c r="O5">
        <v>150</v>
      </c>
      <c r="P5">
        <v>6</v>
      </c>
      <c r="Q5">
        <v>3</v>
      </c>
      <c r="R5" t="s">
        <v>211</v>
      </c>
      <c r="S5" t="s">
        <v>389</v>
      </c>
      <c r="T5" t="s">
        <v>390</v>
      </c>
      <c r="U5">
        <v>40</v>
      </c>
      <c r="V5">
        <v>30</v>
      </c>
      <c r="W5">
        <v>70</v>
      </c>
      <c r="X5">
        <v>90</v>
      </c>
      <c r="Y5">
        <v>50</v>
      </c>
      <c r="Z5">
        <v>0</v>
      </c>
      <c r="AA5">
        <v>0</v>
      </c>
    </row>
    <row r="6" spans="1:30" x14ac:dyDescent="0.25">
      <c r="A6"/>
      <c r="S6"/>
      <c r="T6"/>
    </row>
    <row r="7" spans="1:30" x14ac:dyDescent="0.25">
      <c r="A7"/>
      <c r="S7"/>
      <c r="T7"/>
    </row>
    <row r="8" spans="1:30" x14ac:dyDescent="0.25">
      <c r="A8"/>
      <c r="S8"/>
      <c r="T8"/>
    </row>
    <row r="9" spans="1:30" x14ac:dyDescent="0.25">
      <c r="A9"/>
      <c r="S9"/>
      <c r="T9"/>
    </row>
    <row r="10" spans="1:30" x14ac:dyDescent="0.25">
      <c r="A10"/>
      <c r="S10"/>
      <c r="T10"/>
    </row>
    <row r="11" spans="1:30" x14ac:dyDescent="0.25">
      <c r="A11"/>
      <c r="S11"/>
      <c r="T11"/>
    </row>
    <row r="12" spans="1:30" x14ac:dyDescent="0.25">
      <c r="A12"/>
      <c r="S12"/>
      <c r="T12"/>
    </row>
    <row r="13" spans="1:30" x14ac:dyDescent="0.25">
      <c r="A13"/>
      <c r="S13"/>
      <c r="T13"/>
    </row>
    <row r="14" spans="1:30" x14ac:dyDescent="0.25">
      <c r="A14"/>
      <c r="S14"/>
      <c r="T14"/>
    </row>
    <row r="15" spans="1:30" x14ac:dyDescent="0.25">
      <c r="A15"/>
      <c r="S15"/>
      <c r="T15"/>
    </row>
    <row r="16" spans="1:30" x14ac:dyDescent="0.25">
      <c r="A16"/>
      <c r="S16"/>
      <c r="T16"/>
    </row>
    <row r="17" spans="4:4" x14ac:dyDescent="0.25">
      <c r="D17" s="11"/>
    </row>
    <row r="18" spans="4:4" x14ac:dyDescent="0.25">
      <c r="D18" s="11"/>
    </row>
    <row r="19" spans="4:4" x14ac:dyDescent="0.25">
      <c r="D19" s="11"/>
    </row>
  </sheetData>
  <pageMargins left="0.7" right="0.7" top="0.75" bottom="0.75" header="0.3" footer="0.3"/>
  <pageSetup paperSize="9" orientation="portrait" r:id="rId1"/>
  <ignoredErrors>
    <ignoredError sqref="A3:A5" numberStoredAsText="1"/>
  </ignoredError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41"/>
  <dimension ref="A1:AS19"/>
  <sheetViews>
    <sheetView zoomScaleNormal="100" workbookViewId="0">
      <selection activeCell="K43" sqref="K43"/>
    </sheetView>
  </sheetViews>
  <sheetFormatPr defaultRowHeight="15" x14ac:dyDescent="0.25"/>
  <cols>
    <col min="1" max="1" width="16.28515625" style="11" customWidth="1"/>
    <col min="2" max="2" width="12" customWidth="1"/>
    <col min="3" max="3" width="10.28515625" customWidth="1"/>
    <col min="4" max="4" width="16.140625" customWidth="1"/>
    <col min="5" max="5" width="22.42578125" customWidth="1"/>
    <col min="6" max="6" width="22.5703125" customWidth="1"/>
    <col min="7" max="7" width="23" customWidth="1"/>
    <col min="8" max="8" width="21.5703125" customWidth="1"/>
    <col min="9" max="9" width="21.140625" customWidth="1"/>
    <col min="10" max="10" width="22.7109375" customWidth="1"/>
    <col min="11" max="11" width="21.5703125" customWidth="1"/>
    <col min="12" max="12" width="21.140625" customWidth="1"/>
    <col min="13" max="13" width="22.7109375" customWidth="1"/>
    <col min="18" max="18" width="7.5703125" customWidth="1"/>
    <col min="19" max="21" width="8.28515625" customWidth="1"/>
    <col min="22" max="22" width="10.5703125" customWidth="1"/>
    <col min="23" max="23" width="13.140625" customWidth="1"/>
    <col min="24" max="24" width="7.42578125" customWidth="1"/>
    <col min="25" max="26" width="8.28515625" customWidth="1"/>
    <col min="27" max="27" width="10.7109375" customWidth="1"/>
    <col min="28" max="28" width="12.85546875" customWidth="1"/>
    <col min="29" max="29" width="8.7109375" style="11" customWidth="1"/>
    <col min="30" max="30" width="10.28515625" style="11" customWidth="1"/>
    <col min="35" max="35" width="13" customWidth="1"/>
    <col min="36" max="36" width="11.5703125" customWidth="1"/>
    <col min="37" max="37" width="14.7109375" customWidth="1"/>
    <col min="41" max="41" width="11.42578125" customWidth="1"/>
    <col min="42" max="42" width="14.85546875" customWidth="1"/>
  </cols>
  <sheetData>
    <row r="1" spans="1:45" x14ac:dyDescent="0.25">
      <c r="A1" s="2" t="s">
        <v>353</v>
      </c>
      <c r="B1" s="2" t="s">
        <v>354</v>
      </c>
      <c r="C1" s="2" t="s">
        <v>355</v>
      </c>
      <c r="D1" s="2" t="s">
        <v>356</v>
      </c>
      <c r="E1" s="2" t="s">
        <v>357</v>
      </c>
      <c r="F1" s="2" t="s">
        <v>358</v>
      </c>
      <c r="G1" s="2" t="s">
        <v>359</v>
      </c>
      <c r="H1" s="2" t="s">
        <v>360</v>
      </c>
      <c r="I1" s="2" t="s">
        <v>361</v>
      </c>
      <c r="J1" s="2" t="s">
        <v>362</v>
      </c>
      <c r="K1" s="2" t="s">
        <v>401</v>
      </c>
      <c r="L1" s="2" t="s">
        <v>402</v>
      </c>
      <c r="M1" s="2" t="s">
        <v>403</v>
      </c>
      <c r="N1" s="2" t="s">
        <v>363</v>
      </c>
      <c r="O1" s="2" t="s">
        <v>364</v>
      </c>
      <c r="P1" s="2" t="s">
        <v>404</v>
      </c>
      <c r="Q1" s="2" t="s">
        <v>405</v>
      </c>
      <c r="R1" s="2" t="s">
        <v>365</v>
      </c>
      <c r="S1" s="2" t="s">
        <v>366</v>
      </c>
      <c r="T1" s="2" t="s">
        <v>367</v>
      </c>
      <c r="U1" s="2" t="s">
        <v>368</v>
      </c>
      <c r="V1" s="2" t="s">
        <v>369</v>
      </c>
      <c r="W1" s="2" t="s">
        <v>370</v>
      </c>
      <c r="X1" s="2" t="s">
        <v>406</v>
      </c>
      <c r="Y1" s="2" t="s">
        <v>407</v>
      </c>
      <c r="Z1" s="2" t="s">
        <v>408</v>
      </c>
      <c r="AA1" s="2" t="s">
        <v>409</v>
      </c>
      <c r="AB1" s="2" t="s">
        <v>410</v>
      </c>
      <c r="AC1" s="2" t="s">
        <v>371</v>
      </c>
      <c r="AD1" s="2" t="s">
        <v>372</v>
      </c>
      <c r="AE1" s="2" t="s">
        <v>373</v>
      </c>
      <c r="AF1" s="2" t="s">
        <v>374</v>
      </c>
      <c r="AG1" s="2" t="s">
        <v>375</v>
      </c>
      <c r="AH1" s="2" t="s">
        <v>376</v>
      </c>
      <c r="AI1" s="2" t="s">
        <v>377</v>
      </c>
      <c r="AJ1" s="2" t="s">
        <v>378</v>
      </c>
      <c r="AK1" s="2" t="s">
        <v>379</v>
      </c>
      <c r="AL1" s="2" t="s">
        <v>380</v>
      </c>
      <c r="AM1" s="2" t="s">
        <v>381</v>
      </c>
      <c r="AN1" s="2" t="s">
        <v>382</v>
      </c>
      <c r="AO1" s="2" t="s">
        <v>411</v>
      </c>
      <c r="AP1" s="2" t="s">
        <v>412</v>
      </c>
      <c r="AQ1" s="2" t="s">
        <v>413</v>
      </c>
      <c r="AR1" s="2" t="s">
        <v>414</v>
      </c>
      <c r="AS1" s="2" t="s">
        <v>415</v>
      </c>
    </row>
    <row r="2" spans="1:45" x14ac:dyDescent="0.25">
      <c r="A2" s="2"/>
      <c r="B2" s="2"/>
      <c r="C2" s="2"/>
      <c r="D2" s="2"/>
      <c r="E2" s="2"/>
      <c r="F2" s="2"/>
      <c r="G2" s="2"/>
      <c r="H2" s="2"/>
      <c r="I2" s="2"/>
      <c r="J2" s="2"/>
      <c r="K2" s="2"/>
      <c r="L2" s="2"/>
      <c r="M2" s="2"/>
      <c r="N2" s="2" t="s">
        <v>21</v>
      </c>
      <c r="O2" s="2" t="s">
        <v>21</v>
      </c>
      <c r="P2" s="2" t="s">
        <v>21</v>
      </c>
      <c r="Q2" s="2" t="s">
        <v>21</v>
      </c>
      <c r="R2" s="2" t="s">
        <v>0</v>
      </c>
      <c r="S2" s="2" t="s">
        <v>0</v>
      </c>
      <c r="T2" s="2" t="s">
        <v>0</v>
      </c>
      <c r="U2" s="2" t="s">
        <v>0</v>
      </c>
      <c r="V2" s="2"/>
      <c r="W2" s="2"/>
      <c r="X2" s="2" t="s">
        <v>0</v>
      </c>
      <c r="Y2" s="2" t="s">
        <v>0</v>
      </c>
      <c r="Z2" s="2" t="s">
        <v>0</v>
      </c>
      <c r="AA2" s="2"/>
      <c r="AB2" s="2"/>
      <c r="AC2" s="2"/>
      <c r="AD2" s="2"/>
      <c r="AE2" s="2" t="s">
        <v>0</v>
      </c>
      <c r="AF2" s="2" t="s">
        <v>0</v>
      </c>
      <c r="AG2" s="2" t="s">
        <v>0</v>
      </c>
      <c r="AH2" s="2" t="s">
        <v>0</v>
      </c>
      <c r="AI2" s="2" t="s">
        <v>0</v>
      </c>
      <c r="AJ2" s="2"/>
      <c r="AK2" s="2"/>
      <c r="AL2" s="2" t="s">
        <v>0</v>
      </c>
      <c r="AM2" s="2" t="s">
        <v>0</v>
      </c>
      <c r="AN2" s="2" t="s">
        <v>0</v>
      </c>
      <c r="AO2" s="2"/>
      <c r="AP2" s="2"/>
      <c r="AQ2" s="2" t="s">
        <v>0</v>
      </c>
      <c r="AR2" s="2" t="s">
        <v>0</v>
      </c>
      <c r="AS2" s="2" t="s">
        <v>0</v>
      </c>
    </row>
    <row r="3" spans="1:45" x14ac:dyDescent="0.25">
      <c r="A3" t="s">
        <v>383</v>
      </c>
      <c r="B3" t="s">
        <v>384</v>
      </c>
      <c r="D3" t="s">
        <v>416</v>
      </c>
      <c r="E3" t="s">
        <v>386</v>
      </c>
      <c r="F3" t="s">
        <v>387</v>
      </c>
      <c r="G3" t="s">
        <v>211</v>
      </c>
      <c r="H3" t="s">
        <v>386</v>
      </c>
      <c r="I3" t="s">
        <v>388</v>
      </c>
      <c r="J3" t="s">
        <v>211</v>
      </c>
      <c r="K3" t="s">
        <v>386</v>
      </c>
      <c r="L3" t="s">
        <v>417</v>
      </c>
      <c r="M3" t="s">
        <v>211</v>
      </c>
      <c r="N3">
        <v>250</v>
      </c>
      <c r="O3">
        <v>100</v>
      </c>
      <c r="P3">
        <v>150</v>
      </c>
      <c r="Q3">
        <v>100</v>
      </c>
      <c r="R3">
        <v>12</v>
      </c>
      <c r="S3">
        <v>320</v>
      </c>
      <c r="T3">
        <v>220</v>
      </c>
      <c r="U3">
        <v>8</v>
      </c>
      <c r="V3">
        <v>4</v>
      </c>
      <c r="W3" t="s">
        <v>211</v>
      </c>
      <c r="X3">
        <v>10</v>
      </c>
      <c r="Y3">
        <v>240</v>
      </c>
      <c r="Z3">
        <v>8</v>
      </c>
      <c r="AA3">
        <v>3</v>
      </c>
      <c r="AB3" t="s">
        <v>211</v>
      </c>
      <c r="AC3" t="s">
        <v>389</v>
      </c>
      <c r="AD3" t="s">
        <v>390</v>
      </c>
      <c r="AE3">
        <v>40</v>
      </c>
      <c r="AF3">
        <v>40</v>
      </c>
      <c r="AG3">
        <v>80</v>
      </c>
      <c r="AH3">
        <v>140</v>
      </c>
      <c r="AI3">
        <v>50</v>
      </c>
      <c r="AJ3">
        <v>1</v>
      </c>
      <c r="AK3">
        <v>0</v>
      </c>
      <c r="AL3">
        <v>50</v>
      </c>
      <c r="AM3">
        <v>0</v>
      </c>
      <c r="AN3">
        <v>150</v>
      </c>
      <c r="AO3">
        <v>1</v>
      </c>
      <c r="AP3">
        <v>1</v>
      </c>
      <c r="AQ3">
        <v>50</v>
      </c>
      <c r="AR3">
        <v>30</v>
      </c>
      <c r="AS3">
        <v>150</v>
      </c>
    </row>
    <row r="4" spans="1:45" x14ac:dyDescent="0.25">
      <c r="A4" t="s">
        <v>391</v>
      </c>
      <c r="B4" t="s">
        <v>392</v>
      </c>
      <c r="C4" t="s">
        <v>398</v>
      </c>
      <c r="D4" t="s">
        <v>416</v>
      </c>
      <c r="E4" t="s">
        <v>394</v>
      </c>
      <c r="F4" t="s">
        <v>395</v>
      </c>
      <c r="G4" t="s">
        <v>216</v>
      </c>
      <c r="H4" t="s">
        <v>386</v>
      </c>
      <c r="I4" t="s">
        <v>396</v>
      </c>
      <c r="J4" t="s">
        <v>216</v>
      </c>
      <c r="K4" t="s">
        <v>386</v>
      </c>
      <c r="L4" t="s">
        <v>388</v>
      </c>
      <c r="M4" t="s">
        <v>216</v>
      </c>
      <c r="N4">
        <v>125</v>
      </c>
      <c r="O4">
        <v>50</v>
      </c>
      <c r="P4">
        <v>185</v>
      </c>
      <c r="Q4">
        <v>65</v>
      </c>
      <c r="R4">
        <v>10</v>
      </c>
      <c r="S4">
        <v>220</v>
      </c>
      <c r="T4">
        <v>200</v>
      </c>
      <c r="U4">
        <v>6</v>
      </c>
      <c r="V4">
        <v>3</v>
      </c>
      <c r="W4" t="s">
        <v>216</v>
      </c>
      <c r="X4">
        <v>12</v>
      </c>
      <c r="Y4">
        <v>360</v>
      </c>
      <c r="Z4">
        <v>8</v>
      </c>
      <c r="AA4">
        <v>5</v>
      </c>
      <c r="AB4" t="s">
        <v>216</v>
      </c>
      <c r="AC4" t="s">
        <v>389</v>
      </c>
      <c r="AD4" t="s">
        <v>390</v>
      </c>
      <c r="AE4">
        <v>40</v>
      </c>
      <c r="AF4">
        <v>30</v>
      </c>
      <c r="AG4">
        <v>70</v>
      </c>
      <c r="AH4">
        <v>140</v>
      </c>
      <c r="AI4">
        <v>50</v>
      </c>
      <c r="AJ4">
        <v>0</v>
      </c>
      <c r="AK4">
        <v>1</v>
      </c>
      <c r="AM4">
        <v>25</v>
      </c>
      <c r="AN4">
        <v>110</v>
      </c>
      <c r="AO4">
        <v>0</v>
      </c>
      <c r="AP4">
        <v>0</v>
      </c>
    </row>
    <row r="5" spans="1:45" x14ac:dyDescent="0.25">
      <c r="A5"/>
      <c r="AC5"/>
      <c r="AD5"/>
    </row>
    <row r="6" spans="1:45" x14ac:dyDescent="0.25">
      <c r="A6"/>
      <c r="AC6"/>
      <c r="AD6"/>
    </row>
    <row r="7" spans="1:45" x14ac:dyDescent="0.25">
      <c r="A7"/>
      <c r="AC7"/>
      <c r="AD7"/>
    </row>
    <row r="8" spans="1:45" x14ac:dyDescent="0.25">
      <c r="A8"/>
      <c r="AC8"/>
      <c r="AD8"/>
    </row>
    <row r="9" spans="1:45" x14ac:dyDescent="0.25">
      <c r="A9"/>
      <c r="AC9"/>
      <c r="AD9"/>
    </row>
    <row r="10" spans="1:45" x14ac:dyDescent="0.25">
      <c r="A10"/>
      <c r="AC10"/>
      <c r="AD10"/>
    </row>
    <row r="11" spans="1:45" x14ac:dyDescent="0.25">
      <c r="A11"/>
      <c r="AC11"/>
      <c r="AD11"/>
    </row>
    <row r="12" spans="1:45" x14ac:dyDescent="0.25">
      <c r="A12"/>
      <c r="AC12"/>
      <c r="AD12"/>
    </row>
    <row r="13" spans="1:45" x14ac:dyDescent="0.25">
      <c r="A13"/>
      <c r="AC13"/>
      <c r="AD13"/>
    </row>
    <row r="14" spans="1:45" x14ac:dyDescent="0.25">
      <c r="A14"/>
      <c r="AC14"/>
      <c r="AD14"/>
    </row>
    <row r="15" spans="1:45" x14ac:dyDescent="0.25">
      <c r="A15"/>
      <c r="AC15"/>
      <c r="AD15"/>
    </row>
    <row r="16" spans="1:45" x14ac:dyDescent="0.25">
      <c r="A16"/>
      <c r="AC16"/>
      <c r="AD16"/>
    </row>
    <row r="17" spans="4:4" x14ac:dyDescent="0.25">
      <c r="D17" s="11"/>
    </row>
    <row r="18" spans="4:4" x14ac:dyDescent="0.25">
      <c r="D18" s="11"/>
    </row>
    <row r="19" spans="4:4" x14ac:dyDescent="0.25">
      <c r="D19" s="11"/>
    </row>
  </sheetData>
  <pageMargins left="0.7" right="0.7" top="0.75" bottom="0.75" header="0.3" footer="0.3"/>
  <pageSetup paperSize="9" orientation="portrait" r:id="rId1"/>
  <ignoredErrors>
    <ignoredError sqref="A3:A4" numberStoredAsText="1"/>
  </ignoredError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351"/>
  <dimension ref="A1:M2"/>
  <sheetViews>
    <sheetView workbookViewId="0">
      <selection activeCell="A3" sqref="A3"/>
    </sheetView>
  </sheetViews>
  <sheetFormatPr defaultRowHeight="15" x14ac:dyDescent="0.25"/>
  <cols>
    <col min="1" max="1" width="16.5703125" bestFit="1" customWidth="1"/>
    <col min="2" max="2" width="15.85546875" customWidth="1"/>
    <col min="3" max="3" width="12.85546875" bestFit="1" customWidth="1"/>
    <col min="4" max="4" width="4.28515625" customWidth="1"/>
    <col min="5" max="5" width="13.42578125" bestFit="1" customWidth="1"/>
    <col min="6" max="6" width="15.85546875" bestFit="1" customWidth="1"/>
    <col min="7" max="7" width="13.42578125" bestFit="1" customWidth="1"/>
    <col min="8" max="8" width="3.42578125" customWidth="1"/>
    <col min="9" max="9" width="13.85546875" bestFit="1" customWidth="1"/>
    <col min="10" max="10" width="25.5703125" bestFit="1" customWidth="1"/>
    <col min="11" max="11" width="14" bestFit="1" customWidth="1"/>
    <col min="12" max="12" width="3.28515625" customWidth="1"/>
    <col min="13" max="13" width="14.42578125" bestFit="1" customWidth="1"/>
  </cols>
  <sheetData>
    <row r="1" spans="1:13" x14ac:dyDescent="0.25">
      <c r="A1" s="1" t="s">
        <v>353</v>
      </c>
      <c r="B1" s="1" t="s">
        <v>418</v>
      </c>
      <c r="C1" s="1" t="s">
        <v>419</v>
      </c>
      <c r="D1" s="1" t="s">
        <v>420</v>
      </c>
      <c r="E1" s="1" t="s">
        <v>421</v>
      </c>
      <c r="F1" s="1" t="s">
        <v>422</v>
      </c>
      <c r="G1" s="1" t="s">
        <v>423</v>
      </c>
      <c r="H1" s="1" t="s">
        <v>424</v>
      </c>
      <c r="I1" s="1" t="s">
        <v>425</v>
      </c>
      <c r="J1" s="1" t="s">
        <v>426</v>
      </c>
      <c r="K1" s="1" t="s">
        <v>427</v>
      </c>
      <c r="L1" s="1" t="s">
        <v>428</v>
      </c>
      <c r="M1" s="1" t="s">
        <v>429</v>
      </c>
    </row>
    <row r="2" spans="1:13" x14ac:dyDescent="0.25">
      <c r="A2" s="1"/>
      <c r="B2" s="1"/>
      <c r="C2" s="1"/>
      <c r="D2" s="1"/>
      <c r="E2" s="1"/>
      <c r="F2" s="1"/>
      <c r="G2" s="1"/>
      <c r="H2" s="1"/>
      <c r="I2" s="1"/>
      <c r="J2" s="1"/>
      <c r="K2" s="1"/>
      <c r="L2" s="1"/>
      <c r="M2" s="1"/>
    </row>
  </sheetData>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61"/>
  <dimension ref="A1:U2"/>
  <sheetViews>
    <sheetView workbookViewId="0">
      <selection activeCell="I33" sqref="I33"/>
    </sheetView>
  </sheetViews>
  <sheetFormatPr defaultRowHeight="15" x14ac:dyDescent="0.25"/>
  <cols>
    <col min="1" max="1" width="16.5703125" bestFit="1" customWidth="1"/>
    <col min="2" max="2" width="15.85546875" customWidth="1"/>
    <col min="3" max="3" width="12.85546875" bestFit="1" customWidth="1"/>
    <col min="4" max="4" width="4.28515625" customWidth="1"/>
    <col min="5" max="5" width="12" customWidth="1"/>
    <col min="6" max="6" width="17.28515625" bestFit="1" customWidth="1"/>
    <col min="7" max="7" width="11.7109375" customWidth="1"/>
    <col min="8" max="8" width="4.28515625" customWidth="1"/>
    <col min="9" max="9" width="13.42578125" bestFit="1" customWidth="1"/>
    <col min="10" max="10" width="18.140625" customWidth="1"/>
    <col min="11" max="11" width="12.7109375" customWidth="1"/>
    <col min="12" max="12" width="4.28515625" customWidth="1"/>
    <col min="13" max="13" width="13.85546875" bestFit="1" customWidth="1"/>
    <col min="14" max="14" width="20.7109375" customWidth="1"/>
    <col min="15" max="15" width="13.42578125" bestFit="1" customWidth="1"/>
    <col min="16" max="16" width="4.28515625" customWidth="1"/>
    <col min="17" max="17" width="13.85546875" bestFit="1" customWidth="1"/>
    <col min="18" max="18" width="23.7109375" customWidth="1"/>
    <col min="19" max="19" width="14" bestFit="1" customWidth="1"/>
    <col min="20" max="20" width="4.28515625" customWidth="1"/>
    <col min="21" max="21" width="14.42578125" bestFit="1" customWidth="1"/>
  </cols>
  <sheetData>
    <row r="1" spans="1:21" x14ac:dyDescent="0.25">
      <c r="A1" s="1" t="s">
        <v>353</v>
      </c>
      <c r="B1" s="1" t="s">
        <v>418</v>
      </c>
      <c r="C1" s="1" t="s">
        <v>419</v>
      </c>
      <c r="D1" s="1" t="s">
        <v>420</v>
      </c>
      <c r="E1" s="1" t="s">
        <v>421</v>
      </c>
      <c r="F1" s="1" t="s">
        <v>430</v>
      </c>
      <c r="G1" s="1" t="s">
        <v>431</v>
      </c>
      <c r="H1" s="1" t="s">
        <v>432</v>
      </c>
      <c r="I1" s="1" t="s">
        <v>433</v>
      </c>
      <c r="J1" s="1" t="s">
        <v>422</v>
      </c>
      <c r="K1" s="1" t="s">
        <v>423</v>
      </c>
      <c r="L1" s="1" t="s">
        <v>424</v>
      </c>
      <c r="M1" s="1" t="s">
        <v>425</v>
      </c>
      <c r="N1" s="1" t="s">
        <v>434</v>
      </c>
      <c r="O1" s="1" t="s">
        <v>435</v>
      </c>
      <c r="P1" s="1" t="s">
        <v>436</v>
      </c>
      <c r="Q1" s="1" t="s">
        <v>437</v>
      </c>
      <c r="R1" s="1" t="s">
        <v>426</v>
      </c>
      <c r="S1" s="1" t="s">
        <v>427</v>
      </c>
      <c r="T1" s="1" t="s">
        <v>428</v>
      </c>
      <c r="U1" s="1" t="s">
        <v>429</v>
      </c>
    </row>
    <row r="2" spans="1:21" x14ac:dyDescent="0.25">
      <c r="A2" s="1"/>
      <c r="B2" s="1"/>
      <c r="C2" s="1"/>
      <c r="D2" s="1"/>
      <c r="E2" s="1"/>
      <c r="F2" s="1"/>
      <c r="G2" s="1"/>
      <c r="H2" s="1"/>
      <c r="I2" s="1"/>
      <c r="J2" s="1"/>
      <c r="K2" s="1"/>
      <c r="L2" s="1"/>
      <c r="M2" s="1"/>
      <c r="N2" s="1"/>
      <c r="O2" s="1"/>
      <c r="P2" s="1"/>
      <c r="Q2" s="1"/>
      <c r="R2" s="1"/>
      <c r="S2" s="1"/>
      <c r="T2" s="1"/>
      <c r="U2" s="1"/>
    </row>
  </sheetData>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1"/>
  <dimension ref="A1:Q17"/>
  <sheetViews>
    <sheetView workbookViewId="0">
      <selection sqref="A1:Q1048576"/>
    </sheetView>
  </sheetViews>
  <sheetFormatPr defaultRowHeight="15" x14ac:dyDescent="0.25"/>
  <cols>
    <col min="1" max="1" width="17.28515625" bestFit="1" customWidth="1"/>
    <col min="2" max="2" width="11.140625" bestFit="1" customWidth="1"/>
    <col min="3" max="3" width="11.28515625" bestFit="1" customWidth="1"/>
    <col min="4" max="4" width="14.85546875" bestFit="1" customWidth="1"/>
    <col min="5" max="5" width="15" bestFit="1" customWidth="1"/>
    <col min="6" max="6" width="6.5703125" bestFit="1" customWidth="1"/>
    <col min="7" max="7" width="14.140625" bestFit="1" customWidth="1"/>
    <col min="8" max="9" width="6.42578125" bestFit="1" customWidth="1"/>
    <col min="10" max="10" width="11.7109375" bestFit="1" customWidth="1"/>
    <col min="11" max="11" width="13.28515625" bestFit="1" customWidth="1"/>
    <col min="12" max="12" width="11.28515625" bestFit="1" customWidth="1"/>
    <col min="13" max="13" width="12.7109375" bestFit="1" customWidth="1"/>
    <col min="14" max="14" width="8.7109375" bestFit="1" customWidth="1"/>
    <col min="15" max="15" width="10.140625" bestFit="1" customWidth="1"/>
    <col min="16" max="16" width="8.140625" bestFit="1" customWidth="1"/>
    <col min="17" max="17" width="14.5703125" bestFit="1" customWidth="1"/>
    <col min="18" max="20" width="16.7109375" customWidth="1"/>
    <col min="21" max="21" width="19.140625" customWidth="1"/>
    <col min="22" max="22" width="18" bestFit="1" customWidth="1"/>
    <col min="23" max="23" width="29" customWidth="1"/>
    <col min="24" max="24" width="16.85546875" customWidth="1"/>
    <col min="25" max="25" width="17.7109375" customWidth="1"/>
  </cols>
  <sheetData>
    <row r="1" spans="1:17" x14ac:dyDescent="0.25">
      <c r="A1" s="2" t="s">
        <v>53</v>
      </c>
      <c r="B1" s="2" t="s">
        <v>139</v>
      </c>
      <c r="C1" s="2" t="s">
        <v>140</v>
      </c>
      <c r="D1" s="2" t="s">
        <v>141</v>
      </c>
      <c r="E1" s="2" t="s">
        <v>142</v>
      </c>
      <c r="F1" s="2" t="s">
        <v>143</v>
      </c>
      <c r="G1" s="2" t="s">
        <v>144</v>
      </c>
      <c r="H1" s="2" t="s">
        <v>66</v>
      </c>
      <c r="I1" s="2" t="s">
        <v>67</v>
      </c>
      <c r="J1" s="2" t="s">
        <v>145</v>
      </c>
      <c r="K1" s="2" t="s">
        <v>146</v>
      </c>
      <c r="L1" s="2" t="s">
        <v>147</v>
      </c>
      <c r="M1" s="2" t="s">
        <v>148</v>
      </c>
      <c r="N1" s="2" t="s">
        <v>149</v>
      </c>
      <c r="O1" s="2" t="s">
        <v>150</v>
      </c>
      <c r="P1" s="2" t="s">
        <v>151</v>
      </c>
      <c r="Q1" s="2" t="s">
        <v>152</v>
      </c>
    </row>
    <row r="2" spans="1:17" x14ac:dyDescent="0.25">
      <c r="A2" s="2" t="s">
        <v>89</v>
      </c>
      <c r="B2" s="2" t="s">
        <v>90</v>
      </c>
      <c r="C2" s="2" t="s">
        <v>90</v>
      </c>
      <c r="D2" s="2" t="s">
        <v>90</v>
      </c>
      <c r="E2" s="2" t="s">
        <v>90</v>
      </c>
      <c r="F2" s="2" t="s">
        <v>21</v>
      </c>
      <c r="G2" s="2" t="s">
        <v>21</v>
      </c>
      <c r="H2" s="2" t="s">
        <v>0</v>
      </c>
      <c r="I2" s="2" t="s">
        <v>0</v>
      </c>
      <c r="J2" s="2"/>
      <c r="K2" s="2" t="s">
        <v>0</v>
      </c>
      <c r="L2" s="2"/>
      <c r="M2" s="2" t="s">
        <v>0</v>
      </c>
      <c r="N2" s="2"/>
      <c r="O2" s="2" t="s">
        <v>0</v>
      </c>
      <c r="P2" s="2" t="s">
        <v>0</v>
      </c>
      <c r="Q2" s="2"/>
    </row>
    <row r="3" spans="1:17" x14ac:dyDescent="0.25">
      <c r="A3" t="s">
        <v>92</v>
      </c>
      <c r="B3">
        <v>100</v>
      </c>
      <c r="C3">
        <v>25</v>
      </c>
      <c r="D3">
        <v>65</v>
      </c>
      <c r="E3">
        <v>12</v>
      </c>
      <c r="F3">
        <v>50</v>
      </c>
      <c r="G3">
        <v>60</v>
      </c>
      <c r="H3">
        <v>300</v>
      </c>
      <c r="I3">
        <v>300</v>
      </c>
      <c r="J3">
        <v>2</v>
      </c>
      <c r="K3">
        <v>10</v>
      </c>
      <c r="L3">
        <v>2</v>
      </c>
      <c r="M3">
        <v>10</v>
      </c>
      <c r="N3">
        <v>2</v>
      </c>
      <c r="O3">
        <v>6</v>
      </c>
      <c r="P3">
        <v>250</v>
      </c>
      <c r="Q3" t="s">
        <v>153</v>
      </c>
    </row>
    <row r="4" spans="1:17" x14ac:dyDescent="0.25">
      <c r="A4" t="s">
        <v>92</v>
      </c>
      <c r="B4">
        <v>100</v>
      </c>
      <c r="C4">
        <v>25</v>
      </c>
      <c r="D4">
        <v>65</v>
      </c>
      <c r="E4">
        <v>12</v>
      </c>
      <c r="F4">
        <v>50</v>
      </c>
      <c r="G4">
        <v>60</v>
      </c>
      <c r="H4">
        <v>300</v>
      </c>
      <c r="I4">
        <v>350</v>
      </c>
      <c r="J4">
        <v>2</v>
      </c>
      <c r="K4">
        <v>16</v>
      </c>
      <c r="L4">
        <v>2</v>
      </c>
      <c r="M4">
        <v>12</v>
      </c>
      <c r="N4">
        <v>2</v>
      </c>
      <c r="O4">
        <v>8</v>
      </c>
      <c r="P4">
        <v>250</v>
      </c>
      <c r="Q4" t="s">
        <v>153</v>
      </c>
    </row>
    <row r="5" spans="1:17" x14ac:dyDescent="0.25">
      <c r="A5" t="s">
        <v>92</v>
      </c>
      <c r="B5">
        <v>100</v>
      </c>
      <c r="C5">
        <v>25</v>
      </c>
      <c r="D5">
        <v>65</v>
      </c>
      <c r="E5">
        <v>12</v>
      </c>
      <c r="F5">
        <v>50</v>
      </c>
      <c r="G5">
        <v>60</v>
      </c>
      <c r="H5">
        <v>300</v>
      </c>
      <c r="I5">
        <f>I4+50</f>
        <v>400</v>
      </c>
      <c r="J5">
        <v>2</v>
      </c>
      <c r="K5">
        <v>16</v>
      </c>
      <c r="L5">
        <v>2</v>
      </c>
      <c r="M5">
        <v>16</v>
      </c>
      <c r="N5">
        <v>2</v>
      </c>
      <c r="O5">
        <v>8</v>
      </c>
      <c r="P5">
        <v>250</v>
      </c>
      <c r="Q5" t="s">
        <v>153</v>
      </c>
    </row>
    <row r="6" spans="1:17" x14ac:dyDescent="0.25">
      <c r="A6" t="s">
        <v>92</v>
      </c>
      <c r="B6">
        <v>100</v>
      </c>
      <c r="C6">
        <v>25</v>
      </c>
      <c r="D6">
        <v>65</v>
      </c>
      <c r="E6">
        <v>12</v>
      </c>
      <c r="F6">
        <v>50</v>
      </c>
      <c r="G6">
        <v>60</v>
      </c>
      <c r="H6">
        <v>300</v>
      </c>
      <c r="I6">
        <f>I5+50</f>
        <v>450</v>
      </c>
      <c r="J6">
        <v>2</v>
      </c>
      <c r="K6">
        <v>16</v>
      </c>
      <c r="L6">
        <v>2</v>
      </c>
      <c r="M6">
        <v>16</v>
      </c>
      <c r="N6">
        <v>2</v>
      </c>
      <c r="O6">
        <v>8</v>
      </c>
      <c r="P6">
        <v>250</v>
      </c>
      <c r="Q6" t="s">
        <v>153</v>
      </c>
    </row>
    <row r="7" spans="1:17" x14ac:dyDescent="0.25">
      <c r="A7" t="s">
        <v>92</v>
      </c>
      <c r="B7">
        <v>100</v>
      </c>
      <c r="C7">
        <v>25</v>
      </c>
      <c r="D7">
        <v>65</v>
      </c>
      <c r="E7">
        <v>12</v>
      </c>
      <c r="F7">
        <v>50</v>
      </c>
      <c r="G7">
        <v>60</v>
      </c>
      <c r="H7">
        <v>300</v>
      </c>
      <c r="I7">
        <f>I6+50</f>
        <v>500</v>
      </c>
      <c r="J7">
        <v>2</v>
      </c>
      <c r="K7">
        <v>16</v>
      </c>
      <c r="L7">
        <v>2</v>
      </c>
      <c r="M7">
        <v>16</v>
      </c>
      <c r="N7">
        <v>2</v>
      </c>
      <c r="O7">
        <v>8</v>
      </c>
      <c r="P7">
        <v>250</v>
      </c>
      <c r="Q7" t="s">
        <v>153</v>
      </c>
    </row>
    <row r="8" spans="1:17" x14ac:dyDescent="0.25">
      <c r="A8" t="s">
        <v>92</v>
      </c>
      <c r="B8">
        <v>100</v>
      </c>
      <c r="C8">
        <v>25</v>
      </c>
      <c r="D8">
        <v>65</v>
      </c>
      <c r="E8">
        <v>12</v>
      </c>
      <c r="F8">
        <v>50</v>
      </c>
      <c r="G8">
        <v>60</v>
      </c>
      <c r="H8">
        <v>300</v>
      </c>
      <c r="I8">
        <f>I7+50</f>
        <v>550</v>
      </c>
      <c r="J8">
        <v>2</v>
      </c>
      <c r="K8">
        <v>16</v>
      </c>
      <c r="L8">
        <v>2</v>
      </c>
      <c r="M8">
        <v>16</v>
      </c>
      <c r="N8">
        <v>2</v>
      </c>
      <c r="O8">
        <v>8</v>
      </c>
      <c r="P8">
        <v>250</v>
      </c>
      <c r="Q8" t="s">
        <v>153</v>
      </c>
    </row>
    <row r="9" spans="1:17" x14ac:dyDescent="0.25">
      <c r="A9" t="s">
        <v>92</v>
      </c>
      <c r="B9">
        <v>100</v>
      </c>
      <c r="C9">
        <v>25</v>
      </c>
      <c r="D9">
        <v>65</v>
      </c>
      <c r="E9">
        <v>12</v>
      </c>
      <c r="F9">
        <v>50</v>
      </c>
      <c r="G9">
        <v>60</v>
      </c>
      <c r="H9">
        <v>300</v>
      </c>
      <c r="I9">
        <f>I8+50</f>
        <v>600</v>
      </c>
      <c r="J9">
        <v>2</v>
      </c>
      <c r="K9">
        <v>16</v>
      </c>
      <c r="L9">
        <v>2</v>
      </c>
      <c r="M9">
        <v>16</v>
      </c>
      <c r="N9">
        <v>2</v>
      </c>
      <c r="O9">
        <v>8</v>
      </c>
      <c r="P9">
        <v>250</v>
      </c>
      <c r="Q9" t="s">
        <v>153</v>
      </c>
    </row>
    <row r="10" spans="1:17" x14ac:dyDescent="0.25">
      <c r="A10" t="s">
        <v>92</v>
      </c>
      <c r="B10">
        <v>100</v>
      </c>
      <c r="C10">
        <v>25</v>
      </c>
      <c r="D10">
        <v>65</v>
      </c>
      <c r="E10">
        <v>12</v>
      </c>
      <c r="F10">
        <v>50</v>
      </c>
      <c r="G10">
        <v>60</v>
      </c>
      <c r="H10">
        <v>300</v>
      </c>
      <c r="I10">
        <v>300</v>
      </c>
      <c r="J10">
        <v>2</v>
      </c>
      <c r="K10">
        <v>16</v>
      </c>
      <c r="L10">
        <v>2</v>
      </c>
      <c r="M10">
        <v>16</v>
      </c>
      <c r="N10">
        <v>2</v>
      </c>
      <c r="O10">
        <v>8</v>
      </c>
      <c r="P10">
        <v>250</v>
      </c>
      <c r="Q10" t="s">
        <v>153</v>
      </c>
    </row>
    <row r="11" spans="1:17" x14ac:dyDescent="0.25">
      <c r="A11" t="s">
        <v>92</v>
      </c>
      <c r="B11">
        <v>100</v>
      </c>
      <c r="C11">
        <v>25</v>
      </c>
      <c r="D11">
        <v>65</v>
      </c>
      <c r="E11">
        <v>12</v>
      </c>
      <c r="F11">
        <v>50</v>
      </c>
      <c r="G11">
        <v>60</v>
      </c>
      <c r="H11">
        <v>300</v>
      </c>
      <c r="I11">
        <v>350</v>
      </c>
      <c r="J11">
        <v>4</v>
      </c>
      <c r="K11">
        <v>16</v>
      </c>
      <c r="L11">
        <v>2</v>
      </c>
      <c r="M11">
        <v>16</v>
      </c>
      <c r="N11">
        <v>2</v>
      </c>
      <c r="O11">
        <v>8</v>
      </c>
      <c r="P11">
        <v>250</v>
      </c>
      <c r="Q11" t="s">
        <v>153</v>
      </c>
    </row>
    <row r="12" spans="1:17" x14ac:dyDescent="0.25">
      <c r="A12" t="s">
        <v>92</v>
      </c>
      <c r="B12">
        <v>100</v>
      </c>
      <c r="C12">
        <v>25</v>
      </c>
      <c r="D12">
        <v>65</v>
      </c>
      <c r="E12">
        <v>12</v>
      </c>
      <c r="F12">
        <v>50</v>
      </c>
      <c r="G12">
        <v>60</v>
      </c>
      <c r="H12">
        <v>300</v>
      </c>
      <c r="I12">
        <v>400</v>
      </c>
      <c r="J12">
        <v>3</v>
      </c>
      <c r="K12">
        <v>20</v>
      </c>
      <c r="L12">
        <v>2</v>
      </c>
      <c r="M12">
        <v>16</v>
      </c>
      <c r="N12">
        <v>2</v>
      </c>
      <c r="O12">
        <v>8</v>
      </c>
      <c r="P12">
        <v>250</v>
      </c>
      <c r="Q12" t="s">
        <v>153</v>
      </c>
    </row>
    <row r="13" spans="1:17" x14ac:dyDescent="0.25">
      <c r="A13" t="s">
        <v>92</v>
      </c>
      <c r="B13">
        <v>100</v>
      </c>
      <c r="C13">
        <v>25</v>
      </c>
      <c r="D13">
        <v>65</v>
      </c>
      <c r="E13">
        <v>12</v>
      </c>
      <c r="F13">
        <v>50</v>
      </c>
      <c r="G13">
        <v>60</v>
      </c>
      <c r="H13">
        <v>300</v>
      </c>
      <c r="I13">
        <v>400</v>
      </c>
      <c r="J13">
        <v>3</v>
      </c>
      <c r="K13">
        <v>20</v>
      </c>
      <c r="L13">
        <v>2</v>
      </c>
      <c r="M13">
        <v>16</v>
      </c>
      <c r="N13">
        <v>2</v>
      </c>
      <c r="O13">
        <v>8</v>
      </c>
      <c r="P13">
        <v>250</v>
      </c>
      <c r="Q13" t="s">
        <v>154</v>
      </c>
    </row>
    <row r="14" spans="1:17" x14ac:dyDescent="0.25">
      <c r="A14" t="s">
        <v>92</v>
      </c>
      <c r="B14">
        <v>100</v>
      </c>
      <c r="C14">
        <v>25</v>
      </c>
      <c r="D14">
        <v>65</v>
      </c>
      <c r="E14">
        <v>12</v>
      </c>
      <c r="F14">
        <v>50</v>
      </c>
      <c r="G14">
        <v>60</v>
      </c>
      <c r="H14">
        <v>300</v>
      </c>
      <c r="I14">
        <v>400</v>
      </c>
      <c r="J14">
        <v>3</v>
      </c>
      <c r="K14">
        <v>20</v>
      </c>
      <c r="L14">
        <v>2</v>
      </c>
      <c r="M14">
        <v>16</v>
      </c>
      <c r="N14">
        <v>2</v>
      </c>
      <c r="O14">
        <v>8</v>
      </c>
      <c r="P14">
        <v>250</v>
      </c>
      <c r="Q14" t="s">
        <v>155</v>
      </c>
    </row>
    <row r="15" spans="1:17" x14ac:dyDescent="0.25">
      <c r="A15" t="s">
        <v>92</v>
      </c>
      <c r="B15">
        <v>100</v>
      </c>
      <c r="C15">
        <v>25</v>
      </c>
      <c r="D15">
        <v>65</v>
      </c>
      <c r="E15">
        <v>12</v>
      </c>
      <c r="F15">
        <v>50</v>
      </c>
      <c r="G15">
        <v>60</v>
      </c>
      <c r="H15">
        <v>300</v>
      </c>
      <c r="I15">
        <f>I12+50</f>
        <v>450</v>
      </c>
      <c r="J15">
        <v>4</v>
      </c>
      <c r="K15">
        <v>20</v>
      </c>
      <c r="L15">
        <v>2</v>
      </c>
      <c r="M15">
        <v>16</v>
      </c>
      <c r="N15">
        <v>2</v>
      </c>
      <c r="O15">
        <v>8</v>
      </c>
      <c r="P15">
        <v>250</v>
      </c>
      <c r="Q15" t="s">
        <v>153</v>
      </c>
    </row>
    <row r="16" spans="1:17" x14ac:dyDescent="0.25">
      <c r="A16" t="s">
        <v>92</v>
      </c>
      <c r="B16">
        <v>100</v>
      </c>
      <c r="C16">
        <v>25</v>
      </c>
      <c r="D16">
        <v>65</v>
      </c>
      <c r="E16">
        <v>12</v>
      </c>
      <c r="F16">
        <v>50</v>
      </c>
      <c r="G16">
        <v>60</v>
      </c>
      <c r="H16">
        <v>119</v>
      </c>
      <c r="I16">
        <v>1010</v>
      </c>
      <c r="J16">
        <v>2</v>
      </c>
      <c r="K16">
        <v>10</v>
      </c>
      <c r="L16">
        <v>2</v>
      </c>
      <c r="M16">
        <v>10</v>
      </c>
      <c r="N16">
        <v>2</v>
      </c>
      <c r="O16">
        <v>6</v>
      </c>
      <c r="P16">
        <v>250</v>
      </c>
      <c r="Q16" t="s">
        <v>153</v>
      </c>
    </row>
    <row r="17" spans="1:17" x14ac:dyDescent="0.25">
      <c r="A17" t="s">
        <v>92</v>
      </c>
      <c r="B17">
        <v>100</v>
      </c>
      <c r="C17">
        <v>25</v>
      </c>
      <c r="D17">
        <v>65</v>
      </c>
      <c r="E17">
        <v>12</v>
      </c>
      <c r="F17">
        <v>50</v>
      </c>
      <c r="G17">
        <v>60</v>
      </c>
      <c r="H17">
        <v>300</v>
      </c>
      <c r="I17">
        <v>1200</v>
      </c>
      <c r="J17">
        <v>4</v>
      </c>
      <c r="K17">
        <v>16</v>
      </c>
      <c r="L17">
        <v>2</v>
      </c>
      <c r="M17">
        <v>16</v>
      </c>
      <c r="N17">
        <v>2</v>
      </c>
      <c r="O17">
        <v>8</v>
      </c>
      <c r="P17">
        <v>250</v>
      </c>
      <c r="Q17" t="s">
        <v>153</v>
      </c>
    </row>
  </sheetData>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12"/>
  <dimension ref="A1:P2"/>
  <sheetViews>
    <sheetView workbookViewId="0">
      <selection activeCell="A3" sqref="A3:XFD17"/>
    </sheetView>
  </sheetViews>
  <sheetFormatPr defaultRowHeight="15" x14ac:dyDescent="0.25"/>
  <cols>
    <col min="1" max="1" width="13.28515625" customWidth="1"/>
    <col min="2" max="2" width="12.5703125" customWidth="1"/>
    <col min="3" max="3" width="12.42578125" customWidth="1"/>
    <col min="4" max="4" width="15.5703125" customWidth="1"/>
    <col min="5" max="5" width="13.140625" customWidth="1"/>
    <col min="6" max="6" width="12.7109375" customWidth="1"/>
    <col min="7" max="7" width="15.140625" customWidth="1"/>
    <col min="8" max="8" width="18.140625" customWidth="1"/>
    <col min="9" max="9" width="12.7109375" customWidth="1"/>
    <col min="10" max="10" width="11.28515625" customWidth="1"/>
    <col min="11" max="11" width="9.85546875" customWidth="1"/>
    <col min="12" max="12" width="12.28515625" customWidth="1"/>
    <col min="13" max="13" width="9.5703125" customWidth="1"/>
    <col min="14" max="14" width="13.28515625" customWidth="1"/>
    <col min="15" max="16" width="46" bestFit="1" customWidth="1"/>
  </cols>
  <sheetData>
    <row r="1" spans="1:16" x14ac:dyDescent="0.25">
      <c r="A1" s="1" t="s">
        <v>156</v>
      </c>
      <c r="B1" s="1" t="s">
        <v>157</v>
      </c>
      <c r="C1" s="1" t="s">
        <v>158</v>
      </c>
      <c r="D1" s="1" t="s">
        <v>159</v>
      </c>
      <c r="E1" s="1" t="s">
        <v>160</v>
      </c>
      <c r="F1" s="1" t="s">
        <v>161</v>
      </c>
      <c r="G1" s="1" t="s">
        <v>162</v>
      </c>
      <c r="H1" s="1" t="s">
        <v>163</v>
      </c>
      <c r="I1" s="1" t="s">
        <v>164</v>
      </c>
      <c r="J1" s="1" t="s">
        <v>165</v>
      </c>
      <c r="K1" s="1" t="s">
        <v>166</v>
      </c>
      <c r="L1" s="1" t="s">
        <v>167</v>
      </c>
      <c r="M1" s="1" t="s">
        <v>121</v>
      </c>
      <c r="N1" s="1" t="s">
        <v>168</v>
      </c>
      <c r="O1" s="1" t="s">
        <v>169</v>
      </c>
      <c r="P1" s="1" t="s">
        <v>170</v>
      </c>
    </row>
    <row r="2" spans="1:16" x14ac:dyDescent="0.25">
      <c r="A2" s="1" t="s">
        <v>171</v>
      </c>
      <c r="B2" s="1" t="s">
        <v>171</v>
      </c>
      <c r="C2" s="1"/>
      <c r="D2" s="1"/>
      <c r="E2" s="1" t="s">
        <v>171</v>
      </c>
      <c r="F2" s="1" t="s">
        <v>171</v>
      </c>
      <c r="G2" s="1"/>
      <c r="H2" s="1"/>
      <c r="I2" s="1" t="s">
        <v>172</v>
      </c>
      <c r="J2" s="1" t="s">
        <v>172</v>
      </c>
      <c r="K2" s="1"/>
      <c r="L2" s="1"/>
      <c r="M2" s="1"/>
      <c r="N2" s="1"/>
      <c r="O2" s="1"/>
      <c r="P2" s="1"/>
    </row>
  </sheetData>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39"/>
  <sheetViews>
    <sheetView showGridLines="0" tabSelected="1" workbookViewId="0">
      <selection activeCell="B14" sqref="B14"/>
    </sheetView>
  </sheetViews>
  <sheetFormatPr defaultRowHeight="15" x14ac:dyDescent="0.25"/>
  <cols>
    <col min="1" max="1" width="23.42578125" bestFit="1" customWidth="1"/>
    <col min="2" max="2" width="52.28515625" customWidth="1"/>
    <col min="3" max="3" width="9.140625" hidden="1" customWidth="1"/>
    <col min="4" max="4" width="20.28515625" hidden="1" customWidth="1"/>
    <col min="5" max="5" width="226.85546875" hidden="1" customWidth="1"/>
    <col min="6" max="6" width="2.42578125" customWidth="1"/>
  </cols>
  <sheetData>
    <row r="1" spans="1:5" x14ac:dyDescent="0.25">
      <c r="A1" s="2" t="s">
        <v>3</v>
      </c>
      <c r="B1" s="7" t="s">
        <v>1254</v>
      </c>
      <c r="D1" s="4" t="s">
        <v>49</v>
      </c>
      <c r="E1" t="s">
        <v>7</v>
      </c>
    </row>
    <row r="2" spans="1:5" x14ac:dyDescent="0.25">
      <c r="A2" s="3" t="s">
        <v>1</v>
      </c>
      <c r="B2" s="5" t="s">
        <v>1253</v>
      </c>
    </row>
    <row r="3" spans="1:5" x14ac:dyDescent="0.25">
      <c r="A3" s="3" t="s">
        <v>2</v>
      </c>
      <c r="B3" s="5" t="s">
        <v>1254</v>
      </c>
      <c r="D3" s="6" t="s">
        <v>31</v>
      </c>
      <c r="E3" t="s">
        <v>43</v>
      </c>
    </row>
    <row r="5" spans="1:5" x14ac:dyDescent="0.25">
      <c r="A5" s="2" t="s">
        <v>25</v>
      </c>
      <c r="B5" s="2"/>
      <c r="D5" s="4" t="s">
        <v>9</v>
      </c>
      <c r="E5" t="s">
        <v>51</v>
      </c>
    </row>
    <row r="6" spans="1:5" x14ac:dyDescent="0.25">
      <c r="A6" s="3" t="s">
        <v>26</v>
      </c>
      <c r="B6" s="7" t="s">
        <v>1251</v>
      </c>
    </row>
    <row r="7" spans="1:5" x14ac:dyDescent="0.25">
      <c r="A7" s="3" t="s">
        <v>27</v>
      </c>
      <c r="B7" s="7" t="s">
        <v>10</v>
      </c>
      <c r="D7" s="4" t="s">
        <v>8</v>
      </c>
      <c r="E7" t="s">
        <v>34</v>
      </c>
    </row>
    <row r="8" spans="1:5" x14ac:dyDescent="0.25">
      <c r="A8" s="3" t="s">
        <v>46</v>
      </c>
      <c r="B8" s="9">
        <v>3</v>
      </c>
      <c r="E8" t="s">
        <v>35</v>
      </c>
    </row>
    <row r="9" spans="1:5" x14ac:dyDescent="0.25">
      <c r="A9" s="3" t="s">
        <v>47</v>
      </c>
      <c r="B9" s="9" t="s">
        <v>352</v>
      </c>
      <c r="E9" t="s">
        <v>11</v>
      </c>
    </row>
    <row r="11" spans="1:5" x14ac:dyDescent="0.25">
      <c r="A11" s="2" t="s">
        <v>4</v>
      </c>
      <c r="B11" s="2"/>
      <c r="D11" s="4" t="s">
        <v>10</v>
      </c>
      <c r="E11" t="s">
        <v>32</v>
      </c>
    </row>
    <row r="12" spans="1:5" x14ac:dyDescent="0.25">
      <c r="A12" s="3" t="s">
        <v>5</v>
      </c>
      <c r="B12" s="7" t="s">
        <v>50</v>
      </c>
      <c r="E12" t="s">
        <v>36</v>
      </c>
    </row>
    <row r="13" spans="1:5" x14ac:dyDescent="0.25">
      <c r="A13" s="3" t="s">
        <v>45</v>
      </c>
      <c r="B13" s="7" t="s">
        <v>1252</v>
      </c>
    </row>
    <row r="14" spans="1:5" x14ac:dyDescent="0.25">
      <c r="A14" s="3" t="s">
        <v>349</v>
      </c>
      <c r="B14" s="7" t="s">
        <v>1274</v>
      </c>
      <c r="D14" s="4" t="s">
        <v>30</v>
      </c>
      <c r="E14" t="s">
        <v>33</v>
      </c>
    </row>
    <row r="16" spans="1:5" x14ac:dyDescent="0.25">
      <c r="D16" s="4" t="s">
        <v>38</v>
      </c>
    </row>
    <row r="17" spans="1:5" x14ac:dyDescent="0.25">
      <c r="D17" t="s">
        <v>188</v>
      </c>
      <c r="E17" t="s">
        <v>189</v>
      </c>
    </row>
    <row r="18" spans="1:5" x14ac:dyDescent="0.25">
      <c r="A18" s="2" t="s">
        <v>6</v>
      </c>
      <c r="B18" s="8" t="s">
        <v>1277</v>
      </c>
      <c r="D18" t="s">
        <v>190</v>
      </c>
      <c r="E18" t="s">
        <v>191</v>
      </c>
    </row>
    <row r="19" spans="1:5" x14ac:dyDescent="0.25">
      <c r="D19" t="s">
        <v>187</v>
      </c>
      <c r="E19" t="s">
        <v>592</v>
      </c>
    </row>
    <row r="20" spans="1:5" x14ac:dyDescent="0.25">
      <c r="D20" t="s">
        <v>350</v>
      </c>
      <c r="E20" t="s">
        <v>351</v>
      </c>
    </row>
    <row r="21" spans="1:5" x14ac:dyDescent="0.25">
      <c r="A21" s="192" t="s">
        <v>597</v>
      </c>
      <c r="B21" s="4" t="s">
        <v>1250</v>
      </c>
      <c r="D21" t="s">
        <v>185</v>
      </c>
      <c r="E21" t="s">
        <v>186</v>
      </c>
    </row>
    <row r="22" spans="1:5" x14ac:dyDescent="0.25">
      <c r="E22" t="s">
        <v>599</v>
      </c>
    </row>
    <row r="24" spans="1:5" x14ac:dyDescent="0.25">
      <c r="D24" s="4" t="s">
        <v>1111</v>
      </c>
    </row>
    <row r="25" spans="1:5" x14ac:dyDescent="0.25">
      <c r="A25" s="2" t="s">
        <v>1109</v>
      </c>
      <c r="B25" s="2"/>
      <c r="D25" s="10" t="s">
        <v>587</v>
      </c>
      <c r="E25" t="s">
        <v>588</v>
      </c>
    </row>
    <row r="26" spans="1:5" x14ac:dyDescent="0.25">
      <c r="A26" s="3" t="s">
        <v>587</v>
      </c>
      <c r="B26" s="7" t="s">
        <v>593</v>
      </c>
      <c r="D26" s="10"/>
      <c r="E26" t="s">
        <v>598</v>
      </c>
    </row>
    <row r="27" spans="1:5" x14ac:dyDescent="0.25">
      <c r="A27" s="3" t="s">
        <v>589</v>
      </c>
      <c r="B27" s="5" t="s">
        <v>594</v>
      </c>
      <c r="D27" t="s">
        <v>192</v>
      </c>
      <c r="E27" t="s">
        <v>193</v>
      </c>
    </row>
    <row r="28" spans="1:5" x14ac:dyDescent="0.25">
      <c r="A28" s="3" t="s">
        <v>591</v>
      </c>
      <c r="B28" s="5" t="s">
        <v>50</v>
      </c>
      <c r="D28" t="s">
        <v>1114</v>
      </c>
      <c r="E28" t="s">
        <v>590</v>
      </c>
    </row>
    <row r="29" spans="1:5" x14ac:dyDescent="0.25">
      <c r="A29" s="3" t="s">
        <v>1110</v>
      </c>
      <c r="B29" s="5" t="s">
        <v>50</v>
      </c>
      <c r="D29" t="s">
        <v>1115</v>
      </c>
      <c r="E29" t="s">
        <v>1113</v>
      </c>
    </row>
    <row r="30" spans="1:5" x14ac:dyDescent="0.25">
      <c r="A30" s="3" t="s">
        <v>1112</v>
      </c>
      <c r="B30" s="282"/>
      <c r="D30" t="s">
        <v>1116</v>
      </c>
      <c r="E30" t="s">
        <v>1148</v>
      </c>
    </row>
    <row r="32" spans="1:5" x14ac:dyDescent="0.25">
      <c r="D32" s="4" t="s">
        <v>12</v>
      </c>
      <c r="E32" t="s">
        <v>37</v>
      </c>
    </row>
    <row r="33" spans="4:5" x14ac:dyDescent="0.25">
      <c r="E33" t="s">
        <v>13</v>
      </c>
    </row>
    <row r="34" spans="4:5" x14ac:dyDescent="0.25">
      <c r="E34" t="s">
        <v>14</v>
      </c>
    </row>
    <row r="35" spans="4:5" x14ac:dyDescent="0.25">
      <c r="E35" t="s">
        <v>596</v>
      </c>
    </row>
    <row r="37" spans="4:5" x14ac:dyDescent="0.25">
      <c r="D37" s="4" t="s">
        <v>28</v>
      </c>
      <c r="E37" t="s">
        <v>39</v>
      </c>
    </row>
    <row r="38" spans="4:5" x14ac:dyDescent="0.25">
      <c r="E38" t="s">
        <v>29</v>
      </c>
    </row>
    <row r="39" spans="4:5" x14ac:dyDescent="0.25">
      <c r="E39" t="s">
        <v>44</v>
      </c>
    </row>
  </sheetData>
  <dataValidations count="5">
    <dataValidation type="list" allowBlank="1" showInputMessage="1" showErrorMessage="1" sqref="B13" xr:uid="{00000000-0002-0000-0100-000000000000}">
      <formula1>"None,Send To Tedds Application,Send To Tedds for Word,Save As PDF,Save As Microsoft Rich Text Format (RTF)"</formula1>
    </dataValidation>
    <dataValidation type="list" allowBlank="1" showInputMessage="1" showErrorMessage="1" sqref="B12" xr:uid="{00000000-0002-0000-0100-000001000000}">
      <formula1>"Yes,No,Disabled (use Calc API if supported by calculation)"</formula1>
    </dataValidation>
    <dataValidation type="list" allowBlank="1" showInputMessage="1" showErrorMessage="1" sqref="B26" xr:uid="{00000000-0002-0000-0100-000002000000}">
      <formula1>"New design per row,Design first row then modify"</formula1>
    </dataValidation>
    <dataValidation type="list" allowBlank="1" showInputMessage="1" showErrorMessage="1" sqref="B27:B28" xr:uid="{00000000-0002-0000-0100-000003000000}">
      <formula1>"Yes,No"</formula1>
    </dataValidation>
    <dataValidation type="list" allowBlank="1" showInputMessage="1" showErrorMessage="1" sqref="B29" xr:uid="{00000000-0002-0000-0100-000004000000}">
      <formula1>"No,Yes,For each row"</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alculation.Calculate">
              <controlPr defaultSize="0" print="0" autoFill="0" autoPict="0" macro="[0]!CalculateBatchDesign" altText="Calculate batch design">
                <anchor moveWithCells="1" sizeWithCells="1">
                  <from>
                    <xdr:col>0</xdr:col>
                    <xdr:colOff>0</xdr:colOff>
                    <xdr:row>15</xdr:row>
                    <xdr:rowOff>0</xdr:rowOff>
                  </from>
                  <to>
                    <xdr:col>2</xdr:col>
                    <xdr:colOff>9525</xdr:colOff>
                    <xdr:row>16</xdr:row>
                    <xdr:rowOff>9525</xdr:rowOff>
                  </to>
                </anchor>
              </controlPr>
            </control>
          </mc:Choice>
        </mc:AlternateContent>
        <mc:AlternateContent xmlns:mc="http://schemas.openxmlformats.org/markup-compatibility/2006">
          <mc:Choice Requires="x14">
            <control shapeId="2052" r:id="rId5" name="Calculation.CheckForUpdate">
              <controlPr defaultSize="0" print="0" autoFill="0" autoPict="0" macro="[0]!CheckForBatchDesignUpdate">
                <anchor moveWithCells="1" sizeWithCells="1">
                  <from>
                    <xdr:col>0</xdr:col>
                    <xdr:colOff>19050</xdr:colOff>
                    <xdr:row>21</xdr:row>
                    <xdr:rowOff>0</xdr:rowOff>
                  </from>
                  <to>
                    <xdr:col>0</xdr:col>
                    <xdr:colOff>3781425</xdr:colOff>
                    <xdr:row>21</xdr:row>
                    <xdr:rowOff>180975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
  <dimension ref="A1:Y3"/>
  <sheetViews>
    <sheetView workbookViewId="0">
      <selection activeCell="Y1" sqref="Y1:Y3"/>
    </sheetView>
  </sheetViews>
  <sheetFormatPr defaultRowHeight="15" x14ac:dyDescent="0.25"/>
  <cols>
    <col min="11" max="11" width="18" bestFit="1" customWidth="1"/>
  </cols>
  <sheetData>
    <row r="1" spans="1:25" x14ac:dyDescent="0.25">
      <c r="A1" t="s">
        <v>1255</v>
      </c>
      <c r="B1" t="s">
        <v>1256</v>
      </c>
      <c r="C1" t="s">
        <v>1257</v>
      </c>
      <c r="D1" t="s">
        <v>1258</v>
      </c>
      <c r="E1" t="s">
        <v>1259</v>
      </c>
      <c r="F1" t="s">
        <v>1260</v>
      </c>
      <c r="G1" t="s">
        <v>1261</v>
      </c>
      <c r="H1" t="s">
        <v>1275</v>
      </c>
      <c r="I1" t="s">
        <v>1276</v>
      </c>
      <c r="J1" t="s">
        <v>1262</v>
      </c>
      <c r="K1" t="s">
        <v>1263</v>
      </c>
      <c r="L1" t="s">
        <v>1264</v>
      </c>
      <c r="M1" t="s">
        <v>912</v>
      </c>
      <c r="N1" t="s">
        <v>1265</v>
      </c>
      <c r="O1" t="s">
        <v>1266</v>
      </c>
      <c r="P1" t="s">
        <v>1267</v>
      </c>
      <c r="Q1" t="s">
        <v>1268</v>
      </c>
      <c r="R1" t="s">
        <v>300</v>
      </c>
      <c r="S1" t="s">
        <v>1121</v>
      </c>
      <c r="T1" t="s">
        <v>1269</v>
      </c>
      <c r="U1" t="s">
        <v>920</v>
      </c>
      <c r="V1" s="300" t="s">
        <v>652</v>
      </c>
      <c r="W1" t="s">
        <v>1270</v>
      </c>
      <c r="X1" t="s">
        <v>758</v>
      </c>
      <c r="Y1" t="s">
        <v>1271</v>
      </c>
    </row>
    <row r="2" spans="1:25" x14ac:dyDescent="0.25">
      <c r="A2" t="s">
        <v>567</v>
      </c>
      <c r="B2" t="s">
        <v>567</v>
      </c>
      <c r="C2" t="s">
        <v>567</v>
      </c>
      <c r="D2" t="s">
        <v>21</v>
      </c>
      <c r="E2" t="s">
        <v>567</v>
      </c>
      <c r="F2" t="s">
        <v>567</v>
      </c>
      <c r="G2" t="s">
        <v>567</v>
      </c>
      <c r="H2" t="s">
        <v>1272</v>
      </c>
      <c r="I2" t="s">
        <v>595</v>
      </c>
      <c r="J2" t="s">
        <v>595</v>
      </c>
      <c r="K2" t="s">
        <v>1069</v>
      </c>
      <c r="L2" t="s">
        <v>1069</v>
      </c>
      <c r="M2" t="s">
        <v>1272</v>
      </c>
      <c r="N2" t="s">
        <v>567</v>
      </c>
      <c r="O2" t="s">
        <v>567</v>
      </c>
      <c r="P2" t="s">
        <v>595</v>
      </c>
      <c r="R2" t="s">
        <v>1273</v>
      </c>
      <c r="S2" t="s">
        <v>91</v>
      </c>
      <c r="U2" t="s">
        <v>91</v>
      </c>
      <c r="V2" t="s">
        <v>0</v>
      </c>
      <c r="W2" t="s">
        <v>0</v>
      </c>
      <c r="X2" t="s">
        <v>0</v>
      </c>
    </row>
    <row r="3" spans="1:25" x14ac:dyDescent="0.25">
      <c r="A3">
        <v>0.25</v>
      </c>
      <c r="B3">
        <v>0.25</v>
      </c>
      <c r="C3">
        <v>15</v>
      </c>
      <c r="D3">
        <v>8</v>
      </c>
      <c r="E3">
        <v>2.17</v>
      </c>
      <c r="F3">
        <v>2.17</v>
      </c>
      <c r="G3">
        <v>0.56000000000000005</v>
      </c>
      <c r="H3">
        <v>31</v>
      </c>
      <c r="I3">
        <v>0</v>
      </c>
      <c r="J3">
        <v>1400</v>
      </c>
      <c r="K3">
        <v>19.5</v>
      </c>
      <c r="L3">
        <v>21</v>
      </c>
      <c r="M3">
        <v>0.56999999999999995</v>
      </c>
      <c r="N3">
        <v>1.1499999999999999</v>
      </c>
      <c r="O3">
        <v>3</v>
      </c>
      <c r="P3">
        <v>1.23</v>
      </c>
      <c r="Q3">
        <v>2.1</v>
      </c>
      <c r="R3">
        <v>3.75</v>
      </c>
      <c r="S3">
        <v>28</v>
      </c>
      <c r="T3">
        <v>0.85</v>
      </c>
      <c r="U3">
        <v>500</v>
      </c>
      <c r="V3">
        <v>16</v>
      </c>
      <c r="W3">
        <v>275</v>
      </c>
      <c r="X3">
        <v>50</v>
      </c>
      <c r="Y3">
        <v>0</v>
      </c>
    </row>
  </sheetData>
  <phoneticPr fontId="12" type="noConversion"/>
  <pageMargins left="0.7" right="0.7" top="0.75" bottom="0.75" header="0.3" footer="0.3"/>
  <pageSetup paperSize="9" orientation="portrait" horizontalDpi="200" verticalDpi="200"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F9080-ABBA-4994-A8FC-5EC70AC658BC}">
  <dimension ref="A1:A3"/>
  <sheetViews>
    <sheetView workbookViewId="0">
      <selection activeCell="E5" sqref="E5"/>
    </sheetView>
  </sheetViews>
  <sheetFormatPr defaultRowHeight="15" x14ac:dyDescent="0.25"/>
  <sheetData>
    <row r="1" spans="1:1" x14ac:dyDescent="0.25">
      <c r="A1" t="s">
        <v>1271</v>
      </c>
    </row>
    <row r="3" spans="1:1" x14ac:dyDescent="0.25">
      <c r="A3">
        <v>4.2353438828068482E-2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
  <dimension ref="A1:H7"/>
  <sheetViews>
    <sheetView workbookViewId="0">
      <selection activeCell="A3" sqref="A3"/>
    </sheetView>
  </sheetViews>
  <sheetFormatPr defaultRowHeight="15" x14ac:dyDescent="0.25"/>
  <cols>
    <col min="8" max="8" width="18" bestFit="1" customWidth="1"/>
  </cols>
  <sheetData>
    <row r="1" spans="1:8" x14ac:dyDescent="0.25">
      <c r="A1" s="2" t="s">
        <v>16</v>
      </c>
      <c r="B1" s="2" t="s">
        <v>17</v>
      </c>
      <c r="C1" s="2" t="s">
        <v>18</v>
      </c>
      <c r="D1" s="2" t="s">
        <v>19</v>
      </c>
      <c r="E1" s="2" t="s">
        <v>20</v>
      </c>
      <c r="G1" s="1" t="s">
        <v>22</v>
      </c>
      <c r="H1" s="1" t="s">
        <v>23</v>
      </c>
    </row>
    <row r="2" spans="1:8" x14ac:dyDescent="0.25">
      <c r="A2" s="2" t="s">
        <v>40</v>
      </c>
      <c r="B2" s="2" t="s">
        <v>40</v>
      </c>
      <c r="C2" s="2" t="s">
        <v>41</v>
      </c>
      <c r="D2" s="2" t="s">
        <v>40</v>
      </c>
      <c r="E2" s="2" t="s">
        <v>40</v>
      </c>
      <c r="G2" s="1" t="s">
        <v>42</v>
      </c>
      <c r="H2" s="1" t="s">
        <v>24</v>
      </c>
    </row>
    <row r="3" spans="1:8" x14ac:dyDescent="0.25">
      <c r="A3">
        <v>6.5</v>
      </c>
      <c r="B3">
        <v>6.5</v>
      </c>
      <c r="C3">
        <v>35</v>
      </c>
      <c r="D3">
        <v>2</v>
      </c>
      <c r="E3">
        <v>1.8</v>
      </c>
    </row>
    <row r="4" spans="1:8" x14ac:dyDescent="0.25">
      <c r="A4">
        <v>7</v>
      </c>
      <c r="B4">
        <v>6.5</v>
      </c>
      <c r="C4">
        <v>35</v>
      </c>
      <c r="D4">
        <v>2</v>
      </c>
      <c r="E4">
        <v>1.8</v>
      </c>
    </row>
    <row r="5" spans="1:8" x14ac:dyDescent="0.25">
      <c r="A5">
        <v>7.5</v>
      </c>
      <c r="B5">
        <v>6.5</v>
      </c>
      <c r="C5">
        <v>35</v>
      </c>
      <c r="D5">
        <v>2</v>
      </c>
      <c r="E5">
        <v>1.8</v>
      </c>
    </row>
    <row r="6" spans="1:8" x14ac:dyDescent="0.25">
      <c r="A6">
        <v>6.5</v>
      </c>
      <c r="B6">
        <v>7</v>
      </c>
      <c r="C6">
        <v>35</v>
      </c>
      <c r="D6">
        <v>2</v>
      </c>
      <c r="E6">
        <v>1.8</v>
      </c>
    </row>
    <row r="7" spans="1:8" x14ac:dyDescent="0.25">
      <c r="A7">
        <v>6.5</v>
      </c>
      <c r="B7">
        <v>7.5</v>
      </c>
      <c r="C7">
        <v>35</v>
      </c>
      <c r="D7">
        <v>2</v>
      </c>
      <c r="E7">
        <v>1.8</v>
      </c>
    </row>
  </sheetData>
  <pageMargins left="0.7" right="0.7" top="0.75" bottom="0.75" header="0.3" footer="0.3"/>
  <pageSetup paperSize="9" orientation="portrait" horizontalDpi="200" verticalDpi="200"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3"/>
  <dimension ref="A1:Q17"/>
  <sheetViews>
    <sheetView workbookViewId="0">
      <selection activeCell="H24" sqref="H24"/>
    </sheetView>
  </sheetViews>
  <sheetFormatPr defaultRowHeight="15" x14ac:dyDescent="0.25"/>
  <cols>
    <col min="1" max="1" width="19.28515625" customWidth="1"/>
    <col min="2" max="2" width="12.85546875" customWidth="1"/>
    <col min="3" max="3" width="14" customWidth="1"/>
    <col min="4" max="4" width="8.5703125" customWidth="1"/>
    <col min="5" max="5" width="9" customWidth="1"/>
    <col min="6" max="6" width="9.85546875" customWidth="1"/>
    <col min="7" max="7" width="11.7109375" bestFit="1" customWidth="1"/>
    <col min="8" max="8" width="13.85546875" customWidth="1"/>
    <col min="9" max="9" width="13.28515625" bestFit="1" customWidth="1"/>
    <col min="10" max="10" width="11.28515625" bestFit="1" customWidth="1"/>
    <col min="11" max="11" width="12.7109375" bestFit="1" customWidth="1"/>
    <col min="12" max="12" width="13.7109375" customWidth="1"/>
    <col min="13" max="13" width="12.7109375" customWidth="1"/>
    <col min="14" max="14" width="11.140625" customWidth="1"/>
    <col min="15" max="16" width="12.7109375" customWidth="1"/>
    <col min="17" max="17" width="18" customWidth="1"/>
    <col min="18" max="20" width="16.7109375" customWidth="1"/>
    <col min="21" max="21" width="19.140625" customWidth="1"/>
    <col min="22" max="22" width="18" bestFit="1" customWidth="1"/>
    <col min="23" max="23" width="29" customWidth="1"/>
    <col min="24" max="24" width="16.85546875" customWidth="1"/>
    <col min="25" max="25" width="17.7109375" customWidth="1"/>
  </cols>
  <sheetData>
    <row r="1" spans="1:17" x14ac:dyDescent="0.25">
      <c r="A1" s="2" t="s">
        <v>53</v>
      </c>
      <c r="B1" s="2" t="s">
        <v>139</v>
      </c>
      <c r="C1" s="2" t="s">
        <v>140</v>
      </c>
      <c r="D1" s="2" t="s">
        <v>173</v>
      </c>
      <c r="E1" s="2" t="s">
        <v>66</v>
      </c>
      <c r="F1" s="2" t="s">
        <v>67</v>
      </c>
      <c r="G1" s="2" t="s">
        <v>145</v>
      </c>
      <c r="H1" s="2" t="s">
        <v>174</v>
      </c>
      <c r="I1" s="2" t="s">
        <v>146</v>
      </c>
      <c r="J1" s="2" t="s">
        <v>147</v>
      </c>
      <c r="K1" s="2" t="s">
        <v>175</v>
      </c>
      <c r="L1" s="2" t="s">
        <v>148</v>
      </c>
      <c r="M1" s="2" t="s">
        <v>149</v>
      </c>
      <c r="N1" s="2" t="s">
        <v>176</v>
      </c>
      <c r="O1" s="2" t="s">
        <v>150</v>
      </c>
      <c r="P1" s="2" t="s">
        <v>151</v>
      </c>
      <c r="Q1" s="2" t="s">
        <v>177</v>
      </c>
    </row>
    <row r="2" spans="1:17" x14ac:dyDescent="0.25">
      <c r="A2" s="2" t="s">
        <v>89</v>
      </c>
      <c r="B2" s="2" t="s">
        <v>178</v>
      </c>
      <c r="C2" s="2" t="s">
        <v>178</v>
      </c>
      <c r="D2" s="2" t="s">
        <v>41</v>
      </c>
      <c r="E2" s="2" t="s">
        <v>179</v>
      </c>
      <c r="F2" s="2" t="s">
        <v>179</v>
      </c>
      <c r="G2" s="2"/>
      <c r="H2" s="2"/>
      <c r="I2" s="2" t="s">
        <v>179</v>
      </c>
      <c r="J2" s="2"/>
      <c r="K2" s="2"/>
      <c r="L2" s="2" t="s">
        <v>179</v>
      </c>
      <c r="M2" s="2"/>
      <c r="N2" s="2"/>
      <c r="O2" s="2" t="s">
        <v>179</v>
      </c>
      <c r="P2" s="2" t="s">
        <v>179</v>
      </c>
      <c r="Q2" s="2" t="s">
        <v>180</v>
      </c>
    </row>
    <row r="3" spans="1:17" x14ac:dyDescent="0.25">
      <c r="A3" t="s">
        <v>92</v>
      </c>
      <c r="B3">
        <v>100</v>
      </c>
      <c r="C3">
        <v>65</v>
      </c>
      <c r="D3">
        <v>50</v>
      </c>
      <c r="E3">
        <v>12</v>
      </c>
      <c r="F3">
        <v>10</v>
      </c>
      <c r="G3">
        <v>2</v>
      </c>
      <c r="H3">
        <v>6</v>
      </c>
      <c r="I3">
        <f>IF(H3=3, 0.375, IF(H3=4, 0.5, IF(H3=5, 0.625, IF(H3=6, 0.75, IF(H3=7, 0.875, IF(H3=8, 1, IF(H3=9, 1.128, IF(H3=10, 1.27, IF(H3=11, 1.41, IF(H3=14, 1.693, IF(H3=18, 1.693, 0)))))))))))</f>
        <v>0.75</v>
      </c>
      <c r="J3">
        <v>2</v>
      </c>
      <c r="K3">
        <v>5</v>
      </c>
      <c r="L3">
        <f>IF(K3=3, 0.375, IF(K3=4, 0.5, IF(K3=5, 0.625, IF(K3=6, 0.75, IF(K3=7, 0.875, IF(K3=8, 1, IF(K3=9, 1.128, IF(K3=10, 1.27, IF(K3=11, 1.41, IF(K3=14, 1.693, IF(K3=18, 1.693, 0)))))))))))</f>
        <v>0.625</v>
      </c>
      <c r="M3">
        <v>2</v>
      </c>
      <c r="N3">
        <v>4</v>
      </c>
      <c r="O3">
        <f>IF(N3=3, 0.375, IF(N3=4, 0.5, IF(N3=5, 0.625, IF(N3=6, 0.75, IF(N3=7, 0.875, IF(N3=8, 1, IF(N3=9, 1.128, IF(N3=10, 1.27, IF(N3=11, 1.41, IF(N3=14, 1.693, IF(N3=18, 1.693, 0)))))))))))</f>
        <v>0.5</v>
      </c>
      <c r="P3">
        <v>8</v>
      </c>
      <c r="Q3">
        <v>6000</v>
      </c>
    </row>
    <row r="4" spans="1:17" x14ac:dyDescent="0.25">
      <c r="A4" t="s">
        <v>92</v>
      </c>
      <c r="B4">
        <v>100</v>
      </c>
      <c r="C4">
        <v>65</v>
      </c>
      <c r="D4">
        <v>50</v>
      </c>
      <c r="E4">
        <v>12</v>
      </c>
      <c r="F4">
        <v>12</v>
      </c>
      <c r="G4">
        <v>2</v>
      </c>
      <c r="H4">
        <v>6</v>
      </c>
      <c r="I4">
        <f t="shared" ref="I4:I17" si="0">IF(H4=3, 0.375, IF(H4=4, 0.5, IF(H4=5, 0.625, IF(H4=6, 0.75, IF(H4=7, 0.875, IF(H4=8, 1, IF(H4=9, 1.128, IF(H4=10, 1.27, IF(H4=11, 1.41, IF(H4=14, 1.693, 2.275))))))))))</f>
        <v>0.75</v>
      </c>
      <c r="J4">
        <v>2</v>
      </c>
      <c r="K4">
        <v>5</v>
      </c>
      <c r="L4">
        <f t="shared" ref="L4:L17" si="1">IF(K4=3, 0.375, IF(K4=4, 0.5, IF(K4=5, 0.625, IF(K4=6, 0.75, IF(K4=7, 0.875, IF(K4=8, 1, IF(K4=9, 1.128, IF(K4=10, 1.27, IF(K4=11, 1.41, IF(K4=14, 1.693, IF(K4=18, 1.693, 0)))))))))))</f>
        <v>0.625</v>
      </c>
      <c r="M4">
        <v>2</v>
      </c>
      <c r="N4">
        <v>4</v>
      </c>
      <c r="O4">
        <f t="shared" ref="O4:O17" si="2">IF(N4=3, 0.375, IF(N4=4, 0.5, IF(N4=5, 0.625, IF(N4=6, 0.75, IF(N4=7, 0.875, IF(N4=8, 1, IF(N4=9, 1.128, IF(N4=10, 1.27, IF(N4=11, 1.41, IF(N4=14, 1.693, IF(N4=18, 1.693, 0)))))))))))</f>
        <v>0.5</v>
      </c>
      <c r="P4">
        <v>8</v>
      </c>
      <c r="Q4">
        <v>4000</v>
      </c>
    </row>
    <row r="5" spans="1:17" x14ac:dyDescent="0.25">
      <c r="A5" t="s">
        <v>92</v>
      </c>
      <c r="B5">
        <v>100</v>
      </c>
      <c r="C5">
        <v>65</v>
      </c>
      <c r="D5">
        <v>50</v>
      </c>
      <c r="E5">
        <v>12</v>
      </c>
      <c r="F5">
        <f>F4+2</f>
        <v>14</v>
      </c>
      <c r="G5">
        <v>2</v>
      </c>
      <c r="H5">
        <v>6</v>
      </c>
      <c r="I5">
        <f t="shared" si="0"/>
        <v>0.75</v>
      </c>
      <c r="J5">
        <v>2</v>
      </c>
      <c r="K5">
        <v>5</v>
      </c>
      <c r="L5">
        <f t="shared" si="1"/>
        <v>0.625</v>
      </c>
      <c r="M5">
        <v>2</v>
      </c>
      <c r="N5">
        <v>4</v>
      </c>
      <c r="O5">
        <f t="shared" si="2"/>
        <v>0.5</v>
      </c>
      <c r="P5">
        <v>8</v>
      </c>
      <c r="Q5">
        <v>4000</v>
      </c>
    </row>
    <row r="6" spans="1:17" x14ac:dyDescent="0.25">
      <c r="A6" t="s">
        <v>92</v>
      </c>
      <c r="B6">
        <v>100</v>
      </c>
      <c r="C6">
        <v>65</v>
      </c>
      <c r="D6">
        <v>50</v>
      </c>
      <c r="E6">
        <v>12</v>
      </c>
      <c r="F6">
        <f>F5+2</f>
        <v>16</v>
      </c>
      <c r="G6">
        <v>2</v>
      </c>
      <c r="H6">
        <v>6</v>
      </c>
      <c r="I6">
        <f t="shared" si="0"/>
        <v>0.75</v>
      </c>
      <c r="J6">
        <v>2</v>
      </c>
      <c r="K6">
        <v>5</v>
      </c>
      <c r="L6">
        <f t="shared" si="1"/>
        <v>0.625</v>
      </c>
      <c r="M6">
        <v>2</v>
      </c>
      <c r="N6">
        <v>4</v>
      </c>
      <c r="O6">
        <f t="shared" si="2"/>
        <v>0.5</v>
      </c>
      <c r="P6">
        <v>8</v>
      </c>
      <c r="Q6">
        <v>4000</v>
      </c>
    </row>
    <row r="7" spans="1:17" x14ac:dyDescent="0.25">
      <c r="A7" t="s">
        <v>92</v>
      </c>
      <c r="B7">
        <v>100</v>
      </c>
      <c r="C7">
        <v>65</v>
      </c>
      <c r="D7">
        <v>50</v>
      </c>
      <c r="E7">
        <v>12</v>
      </c>
      <c r="F7">
        <f>F6+2</f>
        <v>18</v>
      </c>
      <c r="G7">
        <v>2</v>
      </c>
      <c r="H7">
        <v>6</v>
      </c>
      <c r="I7">
        <f t="shared" si="0"/>
        <v>0.75</v>
      </c>
      <c r="J7">
        <v>2</v>
      </c>
      <c r="K7">
        <v>5</v>
      </c>
      <c r="L7">
        <f t="shared" si="1"/>
        <v>0.625</v>
      </c>
      <c r="M7">
        <v>2</v>
      </c>
      <c r="N7">
        <v>4</v>
      </c>
      <c r="O7">
        <f t="shared" si="2"/>
        <v>0.5</v>
      </c>
      <c r="P7">
        <v>8</v>
      </c>
      <c r="Q7">
        <v>4000</v>
      </c>
    </row>
    <row r="8" spans="1:17" x14ac:dyDescent="0.25">
      <c r="A8" t="s">
        <v>92</v>
      </c>
      <c r="B8">
        <v>100</v>
      </c>
      <c r="C8">
        <v>65</v>
      </c>
      <c r="D8">
        <v>50</v>
      </c>
      <c r="E8">
        <v>12</v>
      </c>
      <c r="F8">
        <f>F7+2</f>
        <v>20</v>
      </c>
      <c r="G8">
        <v>2</v>
      </c>
      <c r="H8">
        <v>6</v>
      </c>
      <c r="I8">
        <f t="shared" si="0"/>
        <v>0.75</v>
      </c>
      <c r="J8">
        <v>2</v>
      </c>
      <c r="K8">
        <v>5</v>
      </c>
      <c r="L8">
        <f t="shared" si="1"/>
        <v>0.625</v>
      </c>
      <c r="M8">
        <v>2</v>
      </c>
      <c r="N8">
        <v>4</v>
      </c>
      <c r="O8">
        <f t="shared" si="2"/>
        <v>0.5</v>
      </c>
      <c r="P8">
        <v>8</v>
      </c>
      <c r="Q8">
        <v>4000</v>
      </c>
    </row>
    <row r="9" spans="1:17" x14ac:dyDescent="0.25">
      <c r="A9" t="s">
        <v>92</v>
      </c>
      <c r="B9">
        <v>100</v>
      </c>
      <c r="C9">
        <v>65</v>
      </c>
      <c r="D9">
        <v>50</v>
      </c>
      <c r="E9">
        <v>12</v>
      </c>
      <c r="F9">
        <v>22</v>
      </c>
      <c r="G9">
        <v>2</v>
      </c>
      <c r="H9">
        <v>6</v>
      </c>
      <c r="I9">
        <f t="shared" si="0"/>
        <v>0.75</v>
      </c>
      <c r="J9">
        <v>2</v>
      </c>
      <c r="K9">
        <v>5</v>
      </c>
      <c r="L9">
        <f t="shared" si="1"/>
        <v>0.625</v>
      </c>
      <c r="M9">
        <v>2</v>
      </c>
      <c r="N9">
        <v>4</v>
      </c>
      <c r="O9">
        <f t="shared" si="2"/>
        <v>0.5</v>
      </c>
      <c r="P9">
        <v>8</v>
      </c>
      <c r="Q9">
        <v>4000</v>
      </c>
    </row>
    <row r="10" spans="1:17" x14ac:dyDescent="0.25">
      <c r="A10" t="s">
        <v>92</v>
      </c>
      <c r="B10">
        <v>100</v>
      </c>
      <c r="C10">
        <v>65</v>
      </c>
      <c r="D10">
        <v>50</v>
      </c>
      <c r="E10">
        <v>12</v>
      </c>
      <c r="F10">
        <v>24</v>
      </c>
      <c r="G10">
        <v>2</v>
      </c>
      <c r="H10">
        <v>6</v>
      </c>
      <c r="I10">
        <f t="shared" si="0"/>
        <v>0.75</v>
      </c>
      <c r="J10">
        <v>2</v>
      </c>
      <c r="K10">
        <v>5</v>
      </c>
      <c r="L10">
        <f t="shared" si="1"/>
        <v>0.625</v>
      </c>
      <c r="M10">
        <v>2</v>
      </c>
      <c r="N10">
        <v>4</v>
      </c>
      <c r="O10">
        <f t="shared" si="2"/>
        <v>0.5</v>
      </c>
      <c r="P10">
        <v>8</v>
      </c>
      <c r="Q10">
        <v>4000</v>
      </c>
    </row>
    <row r="11" spans="1:17" x14ac:dyDescent="0.25">
      <c r="A11" t="s">
        <v>92</v>
      </c>
      <c r="B11">
        <v>100</v>
      </c>
      <c r="C11">
        <v>65</v>
      </c>
      <c r="D11">
        <v>50</v>
      </c>
      <c r="E11">
        <v>12</v>
      </c>
      <c r="F11">
        <v>26</v>
      </c>
      <c r="G11">
        <v>4</v>
      </c>
      <c r="H11">
        <v>6</v>
      </c>
      <c r="I11">
        <f t="shared" si="0"/>
        <v>0.75</v>
      </c>
      <c r="J11">
        <v>2</v>
      </c>
      <c r="K11">
        <v>5</v>
      </c>
      <c r="L11">
        <f t="shared" si="1"/>
        <v>0.625</v>
      </c>
      <c r="M11">
        <v>2</v>
      </c>
      <c r="N11">
        <v>4</v>
      </c>
      <c r="O11">
        <f t="shared" si="2"/>
        <v>0.5</v>
      </c>
      <c r="P11">
        <v>8</v>
      </c>
      <c r="Q11">
        <v>4000</v>
      </c>
    </row>
    <row r="12" spans="1:17" x14ac:dyDescent="0.25">
      <c r="A12" t="s">
        <v>92</v>
      </c>
      <c r="B12">
        <v>100</v>
      </c>
      <c r="C12">
        <v>65</v>
      </c>
      <c r="D12">
        <v>50</v>
      </c>
      <c r="E12">
        <v>12</v>
      </c>
      <c r="F12">
        <v>18</v>
      </c>
      <c r="G12">
        <v>3</v>
      </c>
      <c r="H12">
        <v>6</v>
      </c>
      <c r="I12">
        <f t="shared" si="0"/>
        <v>0.75</v>
      </c>
      <c r="J12">
        <v>2</v>
      </c>
      <c r="K12">
        <v>5</v>
      </c>
      <c r="L12">
        <f t="shared" si="1"/>
        <v>0.625</v>
      </c>
      <c r="M12">
        <v>2</v>
      </c>
      <c r="N12">
        <v>4</v>
      </c>
      <c r="O12">
        <f t="shared" si="2"/>
        <v>0.5</v>
      </c>
      <c r="P12">
        <v>8</v>
      </c>
      <c r="Q12">
        <v>4000</v>
      </c>
    </row>
    <row r="13" spans="1:17" x14ac:dyDescent="0.25">
      <c r="A13" t="s">
        <v>92</v>
      </c>
      <c r="B13">
        <v>100</v>
      </c>
      <c r="C13">
        <v>65</v>
      </c>
      <c r="D13">
        <v>50</v>
      </c>
      <c r="E13">
        <v>12</v>
      </c>
      <c r="F13">
        <v>18</v>
      </c>
      <c r="G13">
        <v>3</v>
      </c>
      <c r="H13">
        <v>6</v>
      </c>
      <c r="I13">
        <f t="shared" si="0"/>
        <v>0.75</v>
      </c>
      <c r="J13">
        <v>2</v>
      </c>
      <c r="K13">
        <v>5</v>
      </c>
      <c r="L13">
        <f t="shared" si="1"/>
        <v>0.625</v>
      </c>
      <c r="M13">
        <v>2</v>
      </c>
      <c r="N13">
        <v>4</v>
      </c>
      <c r="O13">
        <f t="shared" si="2"/>
        <v>0.5</v>
      </c>
      <c r="P13">
        <v>8</v>
      </c>
      <c r="Q13">
        <v>3000</v>
      </c>
    </row>
    <row r="14" spans="1:17" x14ac:dyDescent="0.25">
      <c r="A14" t="s">
        <v>92</v>
      </c>
      <c r="B14">
        <v>100</v>
      </c>
      <c r="C14">
        <v>65</v>
      </c>
      <c r="D14">
        <v>50</v>
      </c>
      <c r="E14">
        <v>12</v>
      </c>
      <c r="F14">
        <v>18</v>
      </c>
      <c r="G14">
        <v>3</v>
      </c>
      <c r="H14">
        <v>6</v>
      </c>
      <c r="I14">
        <f t="shared" si="0"/>
        <v>0.75</v>
      </c>
      <c r="J14">
        <v>2</v>
      </c>
      <c r="K14">
        <v>5</v>
      </c>
      <c r="L14">
        <f t="shared" si="1"/>
        <v>0.625</v>
      </c>
      <c r="M14">
        <v>2</v>
      </c>
      <c r="N14">
        <v>4</v>
      </c>
      <c r="O14">
        <f t="shared" si="2"/>
        <v>0.5</v>
      </c>
      <c r="P14">
        <v>8</v>
      </c>
      <c r="Q14">
        <v>6000</v>
      </c>
    </row>
    <row r="15" spans="1:17" x14ac:dyDescent="0.25">
      <c r="A15" t="s">
        <v>92</v>
      </c>
      <c r="B15">
        <v>100</v>
      </c>
      <c r="C15">
        <v>65</v>
      </c>
      <c r="D15">
        <v>50</v>
      </c>
      <c r="E15">
        <v>12</v>
      </c>
      <c r="F15">
        <v>20</v>
      </c>
      <c r="G15">
        <v>4</v>
      </c>
      <c r="H15">
        <v>6</v>
      </c>
      <c r="I15">
        <f t="shared" si="0"/>
        <v>0.75</v>
      </c>
      <c r="J15">
        <v>2</v>
      </c>
      <c r="K15">
        <v>5</v>
      </c>
      <c r="L15">
        <f t="shared" si="1"/>
        <v>0.625</v>
      </c>
      <c r="M15">
        <v>2</v>
      </c>
      <c r="N15">
        <v>4</v>
      </c>
      <c r="O15">
        <f t="shared" si="2"/>
        <v>0.5</v>
      </c>
      <c r="P15">
        <v>8</v>
      </c>
      <c r="Q15">
        <v>4000</v>
      </c>
    </row>
    <row r="16" spans="1:17" x14ac:dyDescent="0.25">
      <c r="A16" t="s">
        <v>92</v>
      </c>
      <c r="B16">
        <v>100</v>
      </c>
      <c r="C16">
        <v>65</v>
      </c>
      <c r="D16">
        <v>50</v>
      </c>
      <c r="E16">
        <v>12</v>
      </c>
      <c r="F16">
        <v>40</v>
      </c>
      <c r="G16">
        <v>2</v>
      </c>
      <c r="H16">
        <v>6</v>
      </c>
      <c r="I16">
        <f t="shared" si="0"/>
        <v>0.75</v>
      </c>
      <c r="J16">
        <v>2</v>
      </c>
      <c r="K16">
        <v>5</v>
      </c>
      <c r="L16">
        <f t="shared" si="1"/>
        <v>0.625</v>
      </c>
      <c r="M16">
        <v>2</v>
      </c>
      <c r="N16">
        <v>4</v>
      </c>
      <c r="O16">
        <f t="shared" si="2"/>
        <v>0.5</v>
      </c>
      <c r="P16">
        <v>8</v>
      </c>
      <c r="Q16">
        <v>4000</v>
      </c>
    </row>
    <row r="17" spans="1:17" x14ac:dyDescent="0.25">
      <c r="A17" t="s">
        <v>92</v>
      </c>
      <c r="B17">
        <v>100</v>
      </c>
      <c r="C17">
        <v>65</v>
      </c>
      <c r="D17">
        <v>50</v>
      </c>
      <c r="E17">
        <v>12</v>
      </c>
      <c r="F17">
        <v>40</v>
      </c>
      <c r="G17">
        <v>4</v>
      </c>
      <c r="H17">
        <v>6</v>
      </c>
      <c r="I17">
        <f t="shared" si="0"/>
        <v>0.75</v>
      </c>
      <c r="J17">
        <v>2</v>
      </c>
      <c r="K17">
        <v>5</v>
      </c>
      <c r="L17">
        <f t="shared" si="1"/>
        <v>0.625</v>
      </c>
      <c r="M17">
        <v>2</v>
      </c>
      <c r="N17">
        <v>4</v>
      </c>
      <c r="O17">
        <f t="shared" si="2"/>
        <v>0.5</v>
      </c>
      <c r="P17">
        <v>8</v>
      </c>
      <c r="Q17">
        <v>4000</v>
      </c>
    </row>
  </sheetData>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4"/>
  <dimension ref="A1:P2"/>
  <sheetViews>
    <sheetView workbookViewId="0">
      <selection activeCell="A3" sqref="A3:XFD17"/>
    </sheetView>
  </sheetViews>
  <sheetFormatPr defaultRowHeight="15" x14ac:dyDescent="0.25"/>
  <cols>
    <col min="1" max="1" width="13.28515625" customWidth="1"/>
    <col min="2" max="2" width="12.5703125" customWidth="1"/>
    <col min="3" max="3" width="12.42578125" customWidth="1"/>
    <col min="4" max="4" width="15.5703125" customWidth="1"/>
    <col min="5" max="5" width="13.140625" customWidth="1"/>
    <col min="6" max="6" width="12.7109375" customWidth="1"/>
    <col min="7" max="7" width="15.140625" customWidth="1"/>
    <col min="8" max="8" width="18.140625" customWidth="1"/>
    <col min="9" max="9" width="12.7109375" customWidth="1"/>
    <col min="10" max="10" width="11.28515625" customWidth="1"/>
    <col min="11" max="11" width="9.85546875" customWidth="1"/>
    <col min="12" max="12" width="12.28515625" customWidth="1"/>
    <col min="13" max="13" width="9.5703125" customWidth="1"/>
    <col min="14" max="14" width="13.28515625" customWidth="1"/>
    <col min="15" max="16" width="46" bestFit="1" customWidth="1"/>
  </cols>
  <sheetData>
    <row r="1" spans="1:16" x14ac:dyDescent="0.25">
      <c r="A1" s="1" t="s">
        <v>156</v>
      </c>
      <c r="B1" s="1" t="s">
        <v>157</v>
      </c>
      <c r="C1" s="1" t="s">
        <v>158</v>
      </c>
      <c r="D1" s="1" t="s">
        <v>159</v>
      </c>
      <c r="E1" s="1" t="s">
        <v>160</v>
      </c>
      <c r="F1" s="1" t="s">
        <v>161</v>
      </c>
      <c r="G1" s="1" t="s">
        <v>162</v>
      </c>
      <c r="H1" s="1" t="s">
        <v>163</v>
      </c>
      <c r="I1" s="1" t="s">
        <v>164</v>
      </c>
      <c r="J1" s="1" t="s">
        <v>165</v>
      </c>
      <c r="K1" s="1" t="s">
        <v>166</v>
      </c>
      <c r="L1" s="1" t="s">
        <v>167</v>
      </c>
      <c r="M1" s="1" t="s">
        <v>121</v>
      </c>
      <c r="N1" s="1" t="s">
        <v>168</v>
      </c>
      <c r="O1" s="1" t="s">
        <v>169</v>
      </c>
      <c r="P1" s="1" t="s">
        <v>170</v>
      </c>
    </row>
    <row r="2" spans="1:16" x14ac:dyDescent="0.25">
      <c r="A2" s="1" t="s">
        <v>181</v>
      </c>
      <c r="B2" s="1" t="s">
        <v>181</v>
      </c>
      <c r="C2" s="1"/>
      <c r="D2" s="1"/>
      <c r="E2" s="1" t="s">
        <v>181</v>
      </c>
      <c r="F2" s="1" t="s">
        <v>181</v>
      </c>
      <c r="G2" s="1"/>
      <c r="H2" s="1"/>
      <c r="I2" s="1" t="s">
        <v>182</v>
      </c>
      <c r="J2" s="1" t="s">
        <v>182</v>
      </c>
      <c r="K2" s="1"/>
      <c r="L2" s="1"/>
      <c r="M2" s="1"/>
      <c r="N2" s="1"/>
      <c r="O2" s="1"/>
      <c r="P2" s="1"/>
    </row>
  </sheetData>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15"/>
  <dimension ref="A1:O13"/>
  <sheetViews>
    <sheetView workbookViewId="0">
      <selection activeCell="M26" sqref="M26"/>
    </sheetView>
  </sheetViews>
  <sheetFormatPr defaultRowHeight="15" x14ac:dyDescent="0.25"/>
  <cols>
    <col min="1" max="1" width="15" bestFit="1" customWidth="1"/>
    <col min="2" max="2" width="12.85546875" customWidth="1"/>
    <col min="3" max="3" width="14" customWidth="1"/>
    <col min="4" max="4" width="19" customWidth="1"/>
    <col min="5" max="5" width="14" customWidth="1"/>
    <col min="6" max="6" width="8.5703125" customWidth="1"/>
    <col min="7" max="7" width="9" customWidth="1"/>
    <col min="8" max="8" width="9.85546875" customWidth="1"/>
    <col min="9" max="9" width="11.7109375" bestFit="1" customWidth="1"/>
    <col min="10" max="10" width="13.28515625" bestFit="1" customWidth="1"/>
    <col min="11" max="11" width="11.28515625" bestFit="1" customWidth="1"/>
    <col min="12" max="12" width="13.7109375" customWidth="1"/>
    <col min="13" max="15" width="12.7109375" customWidth="1"/>
    <col min="16" max="18" width="16.7109375" customWidth="1"/>
    <col min="19" max="19" width="19.140625" customWidth="1"/>
    <col min="20" max="20" width="18" bestFit="1" customWidth="1"/>
    <col min="21" max="21" width="29" customWidth="1"/>
    <col min="22" max="22" width="16.85546875" customWidth="1"/>
    <col min="23" max="23" width="17.7109375" customWidth="1"/>
  </cols>
  <sheetData>
    <row r="1" spans="1:15" x14ac:dyDescent="0.25">
      <c r="A1" s="2" t="s">
        <v>53</v>
      </c>
      <c r="B1" s="2" t="s">
        <v>139</v>
      </c>
      <c r="C1" s="2" t="s">
        <v>140</v>
      </c>
      <c r="D1" s="2" t="s">
        <v>183</v>
      </c>
      <c r="E1" s="2" t="s">
        <v>184</v>
      </c>
      <c r="F1" s="2" t="s">
        <v>173</v>
      </c>
      <c r="G1" s="2" t="s">
        <v>66</v>
      </c>
      <c r="H1" s="2" t="s">
        <v>67</v>
      </c>
      <c r="I1" s="2" t="s">
        <v>145</v>
      </c>
      <c r="J1" s="2" t="s">
        <v>146</v>
      </c>
      <c r="K1" s="2" t="s">
        <v>147</v>
      </c>
      <c r="L1" s="2" t="s">
        <v>148</v>
      </c>
      <c r="M1" s="2" t="s">
        <v>149</v>
      </c>
      <c r="N1" s="2" t="s">
        <v>150</v>
      </c>
      <c r="O1" s="2" t="s">
        <v>151</v>
      </c>
    </row>
    <row r="2" spans="1:15" x14ac:dyDescent="0.25">
      <c r="A2" s="2"/>
      <c r="B2" s="2" t="s">
        <v>90</v>
      </c>
      <c r="C2" s="2" t="s">
        <v>90</v>
      </c>
      <c r="D2" s="2" t="s">
        <v>90</v>
      </c>
      <c r="E2" s="2" t="s">
        <v>90</v>
      </c>
      <c r="F2" s="2" t="s">
        <v>21</v>
      </c>
      <c r="G2" s="2" t="s">
        <v>0</v>
      </c>
      <c r="H2" s="2" t="s">
        <v>0</v>
      </c>
      <c r="I2" s="2"/>
      <c r="J2" s="2" t="s">
        <v>0</v>
      </c>
      <c r="K2" s="2"/>
      <c r="L2" s="2" t="s">
        <v>0</v>
      </c>
      <c r="M2" s="2"/>
      <c r="N2" s="2" t="s">
        <v>0</v>
      </c>
      <c r="O2" s="2" t="s">
        <v>0</v>
      </c>
    </row>
    <row r="3" spans="1:15" x14ac:dyDescent="0.25">
      <c r="A3" t="s">
        <v>92</v>
      </c>
      <c r="B3">
        <v>100</v>
      </c>
      <c r="C3">
        <v>50</v>
      </c>
      <c r="D3">
        <v>65</v>
      </c>
      <c r="E3">
        <v>30</v>
      </c>
      <c r="F3">
        <v>50</v>
      </c>
      <c r="G3">
        <v>300</v>
      </c>
      <c r="H3">
        <v>300</v>
      </c>
      <c r="I3">
        <v>2</v>
      </c>
      <c r="J3">
        <v>16</v>
      </c>
      <c r="K3">
        <v>2</v>
      </c>
      <c r="L3">
        <v>16</v>
      </c>
      <c r="M3">
        <v>2</v>
      </c>
      <c r="N3">
        <v>8</v>
      </c>
      <c r="O3">
        <v>250</v>
      </c>
    </row>
    <row r="4" spans="1:15" x14ac:dyDescent="0.25">
      <c r="A4" t="s">
        <v>92</v>
      </c>
      <c r="B4">
        <v>100</v>
      </c>
      <c r="C4">
        <v>50</v>
      </c>
      <c r="D4">
        <v>65</v>
      </c>
      <c r="E4">
        <v>30</v>
      </c>
      <c r="F4">
        <v>50</v>
      </c>
      <c r="G4">
        <v>300</v>
      </c>
      <c r="H4">
        <v>350</v>
      </c>
      <c r="I4">
        <v>2</v>
      </c>
      <c r="J4">
        <v>16</v>
      </c>
      <c r="K4">
        <v>2</v>
      </c>
      <c r="L4">
        <v>16</v>
      </c>
      <c r="M4">
        <v>2</v>
      </c>
      <c r="N4">
        <v>8</v>
      </c>
      <c r="O4">
        <v>250</v>
      </c>
    </row>
    <row r="5" spans="1:15" x14ac:dyDescent="0.25">
      <c r="A5" t="s">
        <v>92</v>
      </c>
      <c r="B5">
        <v>100</v>
      </c>
      <c r="C5">
        <v>50</v>
      </c>
      <c r="D5">
        <v>65</v>
      </c>
      <c r="E5">
        <v>30</v>
      </c>
      <c r="F5">
        <v>50</v>
      </c>
      <c r="G5">
        <v>300</v>
      </c>
      <c r="H5">
        <f>H4+50</f>
        <v>400</v>
      </c>
      <c r="I5">
        <v>2</v>
      </c>
      <c r="J5">
        <v>16</v>
      </c>
      <c r="K5">
        <v>2</v>
      </c>
      <c r="L5">
        <v>16</v>
      </c>
      <c r="M5">
        <v>2</v>
      </c>
      <c r="N5">
        <v>8</v>
      </c>
      <c r="O5">
        <v>250</v>
      </c>
    </row>
    <row r="6" spans="1:15" x14ac:dyDescent="0.25">
      <c r="A6" t="s">
        <v>92</v>
      </c>
      <c r="B6">
        <v>100</v>
      </c>
      <c r="C6">
        <v>50</v>
      </c>
      <c r="D6">
        <v>65</v>
      </c>
      <c r="E6">
        <v>30</v>
      </c>
      <c r="F6">
        <v>50</v>
      </c>
      <c r="G6">
        <v>300</v>
      </c>
      <c r="H6">
        <f>H5+50</f>
        <v>450</v>
      </c>
      <c r="I6">
        <v>2</v>
      </c>
      <c r="J6">
        <v>16</v>
      </c>
      <c r="K6">
        <v>2</v>
      </c>
      <c r="L6">
        <v>16</v>
      </c>
      <c r="M6">
        <v>2</v>
      </c>
      <c r="N6">
        <v>8</v>
      </c>
      <c r="O6">
        <v>250</v>
      </c>
    </row>
    <row r="7" spans="1:15" x14ac:dyDescent="0.25">
      <c r="A7" t="s">
        <v>92</v>
      </c>
      <c r="B7">
        <v>100</v>
      </c>
      <c r="C7">
        <v>50</v>
      </c>
      <c r="D7">
        <v>65</v>
      </c>
      <c r="E7">
        <v>30</v>
      </c>
      <c r="F7">
        <v>50</v>
      </c>
      <c r="G7">
        <v>300</v>
      </c>
      <c r="H7">
        <f>H6+50</f>
        <v>500</v>
      </c>
      <c r="I7">
        <v>2</v>
      </c>
      <c r="J7">
        <v>16</v>
      </c>
      <c r="K7">
        <v>2</v>
      </c>
      <c r="L7">
        <v>16</v>
      </c>
      <c r="M7">
        <v>2</v>
      </c>
      <c r="N7">
        <v>8</v>
      </c>
      <c r="O7">
        <v>250</v>
      </c>
    </row>
    <row r="8" spans="1:15" x14ac:dyDescent="0.25">
      <c r="A8" t="s">
        <v>92</v>
      </c>
      <c r="B8">
        <v>100</v>
      </c>
      <c r="C8">
        <v>50</v>
      </c>
      <c r="D8">
        <v>65</v>
      </c>
      <c r="E8">
        <v>30</v>
      </c>
      <c r="F8">
        <v>50</v>
      </c>
      <c r="G8">
        <v>300</v>
      </c>
      <c r="H8">
        <f>H7+50</f>
        <v>550</v>
      </c>
      <c r="I8">
        <v>2</v>
      </c>
      <c r="J8">
        <v>16</v>
      </c>
      <c r="K8">
        <v>2</v>
      </c>
      <c r="L8">
        <v>16</v>
      </c>
      <c r="M8">
        <v>2</v>
      </c>
      <c r="N8">
        <v>8</v>
      </c>
      <c r="O8">
        <v>250</v>
      </c>
    </row>
    <row r="9" spans="1:15" x14ac:dyDescent="0.25">
      <c r="A9" t="s">
        <v>92</v>
      </c>
      <c r="B9">
        <v>100</v>
      </c>
      <c r="C9">
        <v>50</v>
      </c>
      <c r="D9">
        <v>65</v>
      </c>
      <c r="E9">
        <v>30</v>
      </c>
      <c r="F9">
        <v>50</v>
      </c>
      <c r="G9">
        <v>300</v>
      </c>
      <c r="H9">
        <f>H8+50</f>
        <v>600</v>
      </c>
      <c r="I9">
        <v>2</v>
      </c>
      <c r="J9">
        <v>16</v>
      </c>
      <c r="K9">
        <v>2</v>
      </c>
      <c r="L9">
        <v>16</v>
      </c>
      <c r="M9">
        <v>2</v>
      </c>
      <c r="N9">
        <v>8</v>
      </c>
      <c r="O9">
        <v>250</v>
      </c>
    </row>
    <row r="10" spans="1:15" x14ac:dyDescent="0.25">
      <c r="A10" t="s">
        <v>92</v>
      </c>
      <c r="B10">
        <v>100</v>
      </c>
      <c r="C10">
        <v>50</v>
      </c>
      <c r="D10">
        <v>65</v>
      </c>
      <c r="E10">
        <v>30</v>
      </c>
      <c r="F10">
        <v>50</v>
      </c>
      <c r="G10">
        <v>300</v>
      </c>
      <c r="H10">
        <v>450</v>
      </c>
      <c r="I10">
        <v>3</v>
      </c>
      <c r="J10">
        <v>16</v>
      </c>
      <c r="K10">
        <v>2</v>
      </c>
      <c r="L10">
        <v>16</v>
      </c>
      <c r="M10">
        <v>2</v>
      </c>
      <c r="N10">
        <v>8</v>
      </c>
      <c r="O10">
        <v>250</v>
      </c>
    </row>
    <row r="11" spans="1:15" x14ac:dyDescent="0.25">
      <c r="A11" t="s">
        <v>92</v>
      </c>
      <c r="B11">
        <v>100</v>
      </c>
      <c r="C11">
        <v>50</v>
      </c>
      <c r="D11">
        <v>65</v>
      </c>
      <c r="E11">
        <v>30</v>
      </c>
      <c r="F11">
        <v>50</v>
      </c>
      <c r="G11">
        <v>300</v>
      </c>
      <c r="H11">
        <v>450</v>
      </c>
      <c r="I11">
        <v>3</v>
      </c>
      <c r="J11">
        <v>20</v>
      </c>
      <c r="K11">
        <v>2</v>
      </c>
      <c r="L11">
        <v>16</v>
      </c>
      <c r="M11">
        <v>2</v>
      </c>
      <c r="N11">
        <v>8</v>
      </c>
      <c r="O11">
        <v>250</v>
      </c>
    </row>
    <row r="12" spans="1:15" x14ac:dyDescent="0.25">
      <c r="A12" t="s">
        <v>92</v>
      </c>
      <c r="B12">
        <v>100</v>
      </c>
      <c r="C12">
        <v>50</v>
      </c>
      <c r="D12">
        <v>65</v>
      </c>
      <c r="E12">
        <v>30</v>
      </c>
      <c r="F12">
        <v>50</v>
      </c>
      <c r="G12">
        <v>300</v>
      </c>
      <c r="H12">
        <v>500</v>
      </c>
      <c r="I12">
        <v>3</v>
      </c>
      <c r="J12">
        <v>20</v>
      </c>
      <c r="K12">
        <v>2</v>
      </c>
      <c r="L12">
        <v>16</v>
      </c>
      <c r="M12">
        <v>2</v>
      </c>
      <c r="N12">
        <v>8</v>
      </c>
      <c r="O12">
        <v>250</v>
      </c>
    </row>
    <row r="13" spans="1:15" x14ac:dyDescent="0.25">
      <c r="A13" t="s">
        <v>92</v>
      </c>
      <c r="B13">
        <v>100</v>
      </c>
      <c r="C13">
        <v>50</v>
      </c>
      <c r="D13">
        <v>65</v>
      </c>
      <c r="E13">
        <v>30</v>
      </c>
      <c r="F13">
        <v>50</v>
      </c>
      <c r="G13">
        <v>300</v>
      </c>
      <c r="H13">
        <v>500</v>
      </c>
      <c r="I13">
        <v>3</v>
      </c>
      <c r="J13">
        <v>16</v>
      </c>
      <c r="K13">
        <v>2</v>
      </c>
      <c r="L13">
        <v>16</v>
      </c>
      <c r="M13">
        <v>2</v>
      </c>
      <c r="N13">
        <v>8</v>
      </c>
      <c r="O13">
        <v>250</v>
      </c>
    </row>
  </sheetData>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6"/>
  <dimension ref="A1:P2"/>
  <sheetViews>
    <sheetView workbookViewId="0">
      <selection activeCell="A3" sqref="A3:XFD13"/>
    </sheetView>
  </sheetViews>
  <sheetFormatPr defaultRowHeight="15" x14ac:dyDescent="0.25"/>
  <cols>
    <col min="1" max="1" width="13.28515625" customWidth="1"/>
    <col min="2" max="2" width="12.5703125" customWidth="1"/>
    <col min="3" max="3" width="12.42578125" customWidth="1"/>
    <col min="4" max="4" width="15.5703125" customWidth="1"/>
    <col min="5" max="5" width="13.140625" customWidth="1"/>
    <col min="6" max="6" width="12.7109375" customWidth="1"/>
    <col min="7" max="7" width="15.140625" customWidth="1"/>
    <col min="8" max="8" width="18.140625" customWidth="1"/>
    <col min="9" max="9" width="12.7109375" customWidth="1"/>
    <col min="10" max="10" width="11.28515625" customWidth="1"/>
    <col min="11" max="11" width="9.85546875" customWidth="1"/>
    <col min="12" max="12" width="12.28515625" customWidth="1"/>
    <col min="13" max="13" width="9.5703125" customWidth="1"/>
    <col min="14" max="14" width="13.28515625" customWidth="1"/>
    <col min="15" max="15" width="46" bestFit="1" customWidth="1"/>
    <col min="16" max="16" width="12" customWidth="1"/>
  </cols>
  <sheetData>
    <row r="1" spans="1:16" x14ac:dyDescent="0.25">
      <c r="A1" s="1" t="s">
        <v>156</v>
      </c>
      <c r="B1" s="1" t="s">
        <v>157</v>
      </c>
      <c r="C1" s="1" t="s">
        <v>158</v>
      </c>
      <c r="D1" s="1" t="s">
        <v>159</v>
      </c>
      <c r="E1" s="1" t="s">
        <v>160</v>
      </c>
      <c r="F1" s="1" t="s">
        <v>161</v>
      </c>
      <c r="G1" s="1" t="s">
        <v>162</v>
      </c>
      <c r="H1" s="1" t="s">
        <v>163</v>
      </c>
      <c r="I1" s="1" t="s">
        <v>164</v>
      </c>
      <c r="J1" s="1" t="s">
        <v>165</v>
      </c>
      <c r="K1" s="1" t="s">
        <v>166</v>
      </c>
      <c r="L1" s="1" t="s">
        <v>167</v>
      </c>
      <c r="M1" s="1" t="s">
        <v>121</v>
      </c>
      <c r="N1" s="1" t="s">
        <v>168</v>
      </c>
      <c r="O1" s="1" t="s">
        <v>169</v>
      </c>
      <c r="P1" s="1" t="s">
        <v>170</v>
      </c>
    </row>
    <row r="2" spans="1:16" x14ac:dyDescent="0.25">
      <c r="A2" s="1" t="s">
        <v>171</v>
      </c>
      <c r="B2" s="1" t="s">
        <v>171</v>
      </c>
      <c r="C2" s="1"/>
      <c r="D2" s="1"/>
      <c r="E2" s="1" t="s">
        <v>171</v>
      </c>
      <c r="F2" s="1" t="s">
        <v>171</v>
      </c>
      <c r="G2" s="1"/>
      <c r="H2" s="1"/>
      <c r="I2" s="1" t="s">
        <v>172</v>
      </c>
      <c r="J2" s="1" t="s">
        <v>172</v>
      </c>
      <c r="K2" s="1"/>
      <c r="L2" s="1"/>
      <c r="M2" s="1"/>
      <c r="N2" s="1"/>
      <c r="O2" s="1"/>
      <c r="P2" s="1"/>
    </row>
  </sheetData>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5"/>
  <dimension ref="A1:AJ22"/>
  <sheetViews>
    <sheetView workbookViewId="0">
      <selection activeCell="A3" sqref="A3"/>
    </sheetView>
  </sheetViews>
  <sheetFormatPr defaultRowHeight="15" x14ac:dyDescent="0.25"/>
  <cols>
    <col min="1" max="1" width="17.28515625" bestFit="1" customWidth="1"/>
    <col min="2" max="2" width="17.42578125" bestFit="1" customWidth="1"/>
    <col min="3" max="3" width="10.7109375" bestFit="1" customWidth="1"/>
    <col min="4" max="4" width="10.5703125" bestFit="1" customWidth="1"/>
    <col min="5" max="5" width="10" bestFit="1" customWidth="1"/>
    <col min="6" max="6" width="9.85546875" bestFit="1" customWidth="1"/>
    <col min="7" max="7" width="14.140625" bestFit="1" customWidth="1"/>
    <col min="8" max="8" width="14" bestFit="1" customWidth="1"/>
    <col min="9" max="9" width="15.7109375" bestFit="1" customWidth="1"/>
    <col min="10" max="10" width="8.5703125" bestFit="1" customWidth="1"/>
    <col min="11" max="12" width="17.42578125" bestFit="1" customWidth="1"/>
    <col min="13" max="13" width="20.7109375" bestFit="1" customWidth="1"/>
    <col min="14" max="15" width="6.42578125" bestFit="1" customWidth="1"/>
    <col min="16" max="16" width="4.42578125" bestFit="1" customWidth="1"/>
    <col min="17" max="17" width="6.7109375" bestFit="1" customWidth="1"/>
    <col min="18" max="18" width="16.28515625" bestFit="1" customWidth="1"/>
    <col min="19" max="19" width="16.140625" bestFit="1" customWidth="1"/>
    <col min="20" max="20" width="24.5703125" bestFit="1" customWidth="1"/>
    <col min="21" max="21" width="6.140625" bestFit="1" customWidth="1"/>
    <col min="22" max="22" width="8.140625" bestFit="1" customWidth="1"/>
    <col min="23" max="23" width="10" bestFit="1" customWidth="1"/>
    <col min="24" max="24" width="15" customWidth="1"/>
    <col min="25" max="25" width="8" bestFit="1" customWidth="1"/>
    <col min="26" max="26" width="9.85546875" bestFit="1" customWidth="1"/>
    <col min="27" max="27" width="15.42578125" bestFit="1" customWidth="1"/>
    <col min="28" max="28" width="10.28515625" bestFit="1" customWidth="1"/>
    <col min="29" max="29" width="10.140625" bestFit="1" customWidth="1"/>
    <col min="30" max="30" width="21.140625" bestFit="1" customWidth="1"/>
    <col min="31" max="31" width="8.28515625" bestFit="1" customWidth="1"/>
    <col min="32" max="32" width="8.140625" bestFit="1" customWidth="1"/>
    <col min="33" max="33" width="10.5703125" bestFit="1" customWidth="1"/>
    <col min="34" max="34" width="9.28515625" bestFit="1" customWidth="1"/>
    <col min="35" max="35" width="8.140625" bestFit="1" customWidth="1"/>
    <col min="36" max="36" width="7.85546875" bestFit="1" customWidth="1"/>
  </cols>
  <sheetData>
    <row r="1" spans="1:36" x14ac:dyDescent="0.25">
      <c r="A1" s="2" t="s">
        <v>53</v>
      </c>
      <c r="B1" s="2" t="s">
        <v>54</v>
      </c>
      <c r="C1" s="2" t="s">
        <v>55</v>
      </c>
      <c r="D1" s="2" t="s">
        <v>56</v>
      </c>
      <c r="E1" s="2" t="s">
        <v>57</v>
      </c>
      <c r="F1" s="2" t="s">
        <v>58</v>
      </c>
      <c r="G1" s="2" t="s">
        <v>59</v>
      </c>
      <c r="H1" s="2" t="s">
        <v>60</v>
      </c>
      <c r="I1" s="2" t="s">
        <v>61</v>
      </c>
      <c r="J1" s="2" t="s">
        <v>62</v>
      </c>
      <c r="K1" s="2" t="s">
        <v>63</v>
      </c>
      <c r="L1" s="2" t="s">
        <v>64</v>
      </c>
      <c r="M1" s="2" t="s">
        <v>65</v>
      </c>
      <c r="N1" s="2" t="s">
        <v>66</v>
      </c>
      <c r="O1" s="2" t="s">
        <v>67</v>
      </c>
      <c r="P1" s="2" t="s">
        <v>68</v>
      </c>
      <c r="Q1" s="2" t="s">
        <v>69</v>
      </c>
      <c r="R1" s="2" t="s">
        <v>70</v>
      </c>
      <c r="S1" s="2" t="s">
        <v>71</v>
      </c>
      <c r="T1" s="2" t="s">
        <v>72</v>
      </c>
      <c r="U1" s="2" t="s">
        <v>73</v>
      </c>
      <c r="V1" s="2" t="s">
        <v>74</v>
      </c>
      <c r="W1" s="2" t="s">
        <v>75</v>
      </c>
      <c r="X1" s="2" t="s">
        <v>76</v>
      </c>
      <c r="Y1" s="2" t="s">
        <v>77</v>
      </c>
      <c r="Z1" s="2" t="s">
        <v>78</v>
      </c>
      <c r="AA1" s="2" t="s">
        <v>79</v>
      </c>
      <c r="AB1" s="2" t="s">
        <v>80</v>
      </c>
      <c r="AC1" s="2" t="s">
        <v>81</v>
      </c>
      <c r="AD1" s="2" t="s">
        <v>82</v>
      </c>
      <c r="AE1" s="2" t="s">
        <v>83</v>
      </c>
      <c r="AF1" s="2" t="s">
        <v>84</v>
      </c>
      <c r="AG1" s="2" t="s">
        <v>85</v>
      </c>
      <c r="AH1" s="2" t="s">
        <v>86</v>
      </c>
      <c r="AI1" s="2" t="s">
        <v>87</v>
      </c>
      <c r="AJ1" s="2" t="s">
        <v>88</v>
      </c>
    </row>
    <row r="2" spans="1:36" x14ac:dyDescent="0.25">
      <c r="A2" s="2" t="s">
        <v>89</v>
      </c>
      <c r="B2" s="2" t="s">
        <v>89</v>
      </c>
      <c r="C2" s="2" t="s">
        <v>90</v>
      </c>
      <c r="D2" s="2" t="s">
        <v>90</v>
      </c>
      <c r="E2" s="2" t="s">
        <v>21</v>
      </c>
      <c r="F2" s="2" t="s">
        <v>21</v>
      </c>
      <c r="G2" s="2" t="s">
        <v>21</v>
      </c>
      <c r="H2" s="2" t="s">
        <v>21</v>
      </c>
      <c r="I2" s="2" t="s">
        <v>89</v>
      </c>
      <c r="J2" s="2" t="s">
        <v>21</v>
      </c>
      <c r="K2" s="2" t="s">
        <v>89</v>
      </c>
      <c r="L2" s="2" t="s">
        <v>89</v>
      </c>
      <c r="M2" s="2" t="s">
        <v>89</v>
      </c>
      <c r="N2" s="2" t="s">
        <v>0</v>
      </c>
      <c r="O2" s="2" t="s">
        <v>0</v>
      </c>
      <c r="P2" s="2" t="s">
        <v>0</v>
      </c>
      <c r="Q2" s="2"/>
      <c r="R2" s="2"/>
      <c r="S2" s="2"/>
      <c r="T2" s="2"/>
      <c r="U2" s="2" t="s">
        <v>0</v>
      </c>
      <c r="V2" s="2" t="s">
        <v>0</v>
      </c>
      <c r="W2" s="2"/>
      <c r="X2" s="2"/>
      <c r="Y2" s="2" t="s">
        <v>0</v>
      </c>
      <c r="Z2" s="2" t="s">
        <v>0</v>
      </c>
      <c r="AA2" s="2"/>
      <c r="AB2" s="2" t="s">
        <v>0</v>
      </c>
      <c r="AC2" s="2" t="s">
        <v>91</v>
      </c>
      <c r="AD2" s="2"/>
      <c r="AE2" s="2" t="s">
        <v>0</v>
      </c>
      <c r="AF2" s="2" t="s">
        <v>0</v>
      </c>
      <c r="AG2" s="2"/>
      <c r="AH2" s="2" t="s">
        <v>0</v>
      </c>
      <c r="AI2" s="2" t="s">
        <v>0</v>
      </c>
      <c r="AJ2" s="2" t="s">
        <v>0</v>
      </c>
    </row>
    <row r="3" spans="1:36" x14ac:dyDescent="0.25">
      <c r="A3" t="s">
        <v>92</v>
      </c>
      <c r="B3" t="s">
        <v>93</v>
      </c>
      <c r="C3">
        <v>3</v>
      </c>
      <c r="D3">
        <v>1.2</v>
      </c>
      <c r="E3">
        <v>15</v>
      </c>
      <c r="F3">
        <v>5</v>
      </c>
      <c r="G3">
        <v>2</v>
      </c>
      <c r="H3">
        <v>0.7</v>
      </c>
      <c r="I3" t="s">
        <v>94</v>
      </c>
      <c r="J3">
        <v>10</v>
      </c>
      <c r="K3" t="s">
        <v>95</v>
      </c>
      <c r="L3" t="s">
        <v>96</v>
      </c>
      <c r="M3" t="s">
        <v>97</v>
      </c>
      <c r="N3">
        <v>38</v>
      </c>
      <c r="O3">
        <v>184</v>
      </c>
      <c r="P3">
        <v>184</v>
      </c>
      <c r="Q3">
        <v>2</v>
      </c>
    </row>
    <row r="4" spans="1:36" x14ac:dyDescent="0.25">
      <c r="A4" t="s">
        <v>92</v>
      </c>
      <c r="B4" t="s">
        <v>93</v>
      </c>
      <c r="C4">
        <v>3</v>
      </c>
      <c r="D4">
        <v>1.2</v>
      </c>
      <c r="E4">
        <v>15</v>
      </c>
      <c r="F4">
        <v>5</v>
      </c>
      <c r="G4">
        <v>2</v>
      </c>
      <c r="H4">
        <v>0.7</v>
      </c>
      <c r="I4" t="s">
        <v>98</v>
      </c>
      <c r="J4">
        <v>10</v>
      </c>
      <c r="K4" t="s">
        <v>99</v>
      </c>
      <c r="L4" t="s">
        <v>96</v>
      </c>
      <c r="M4" t="s">
        <v>97</v>
      </c>
      <c r="N4">
        <v>38</v>
      </c>
      <c r="O4">
        <v>184</v>
      </c>
      <c r="P4">
        <v>184</v>
      </c>
      <c r="Q4">
        <v>2</v>
      </c>
    </row>
    <row r="5" spans="1:36" x14ac:dyDescent="0.25">
      <c r="A5" t="s">
        <v>92</v>
      </c>
      <c r="B5" t="s">
        <v>93</v>
      </c>
      <c r="C5">
        <v>4</v>
      </c>
      <c r="D5">
        <v>4</v>
      </c>
      <c r="E5">
        <v>2</v>
      </c>
      <c r="F5">
        <v>2</v>
      </c>
      <c r="G5">
        <v>0</v>
      </c>
      <c r="H5">
        <v>0</v>
      </c>
      <c r="I5" t="s">
        <v>48</v>
      </c>
      <c r="J5">
        <v>0</v>
      </c>
      <c r="K5" t="s">
        <v>100</v>
      </c>
      <c r="L5" t="s">
        <v>101</v>
      </c>
      <c r="M5" t="s">
        <v>102</v>
      </c>
      <c r="N5">
        <v>38</v>
      </c>
      <c r="O5">
        <v>210</v>
      </c>
      <c r="P5">
        <v>210</v>
      </c>
      <c r="Q5">
        <v>2</v>
      </c>
    </row>
    <row r="6" spans="1:36" x14ac:dyDescent="0.25">
      <c r="A6" t="s">
        <v>92</v>
      </c>
      <c r="B6" t="s">
        <v>93</v>
      </c>
      <c r="C6">
        <v>4</v>
      </c>
      <c r="D6">
        <v>4</v>
      </c>
      <c r="E6">
        <v>2</v>
      </c>
      <c r="F6">
        <v>2</v>
      </c>
      <c r="G6">
        <v>0</v>
      </c>
      <c r="H6">
        <v>0</v>
      </c>
      <c r="I6" t="s">
        <v>94</v>
      </c>
      <c r="J6">
        <v>7</v>
      </c>
      <c r="K6" t="s">
        <v>95</v>
      </c>
      <c r="L6" t="s">
        <v>96</v>
      </c>
      <c r="M6" t="s">
        <v>103</v>
      </c>
      <c r="N6">
        <v>38</v>
      </c>
      <c r="O6">
        <v>220</v>
      </c>
      <c r="P6">
        <v>220</v>
      </c>
      <c r="Q6">
        <v>2</v>
      </c>
    </row>
    <row r="7" spans="1:36" x14ac:dyDescent="0.25">
      <c r="A7" t="s">
        <v>92</v>
      </c>
      <c r="B7" t="s">
        <v>93</v>
      </c>
      <c r="C7">
        <v>4</v>
      </c>
      <c r="D7">
        <v>4</v>
      </c>
      <c r="E7">
        <v>2</v>
      </c>
      <c r="F7">
        <v>2</v>
      </c>
      <c r="G7">
        <v>5</v>
      </c>
      <c r="H7">
        <v>3</v>
      </c>
      <c r="I7" t="s">
        <v>94</v>
      </c>
      <c r="J7">
        <v>15</v>
      </c>
      <c r="K7" t="s">
        <v>95</v>
      </c>
      <c r="L7" t="s">
        <v>101</v>
      </c>
      <c r="M7" t="s">
        <v>104</v>
      </c>
      <c r="N7">
        <v>38</v>
      </c>
      <c r="O7">
        <v>235</v>
      </c>
      <c r="P7">
        <v>235</v>
      </c>
      <c r="Q7">
        <v>2</v>
      </c>
    </row>
    <row r="8" spans="1:36" x14ac:dyDescent="0.25">
      <c r="A8" t="s">
        <v>92</v>
      </c>
      <c r="B8" t="s">
        <v>93</v>
      </c>
      <c r="C8">
        <v>4</v>
      </c>
      <c r="D8">
        <v>4</v>
      </c>
      <c r="E8">
        <v>2</v>
      </c>
      <c r="F8">
        <v>2</v>
      </c>
      <c r="G8">
        <v>0</v>
      </c>
      <c r="H8">
        <v>0</v>
      </c>
      <c r="I8" t="s">
        <v>94</v>
      </c>
      <c r="J8">
        <v>7</v>
      </c>
      <c r="K8" t="s">
        <v>95</v>
      </c>
      <c r="L8" t="s">
        <v>96</v>
      </c>
      <c r="M8" t="s">
        <v>103</v>
      </c>
      <c r="N8">
        <v>38</v>
      </c>
      <c r="O8">
        <v>240</v>
      </c>
      <c r="P8">
        <v>240</v>
      </c>
      <c r="Q8">
        <v>2</v>
      </c>
    </row>
    <row r="11" spans="1:36" x14ac:dyDescent="0.25">
      <c r="A11" s="4"/>
    </row>
    <row r="18" spans="2:2" x14ac:dyDescent="0.25">
      <c r="B18" s="4"/>
    </row>
    <row r="19" spans="2:2" x14ac:dyDescent="0.25">
      <c r="B19" s="11"/>
    </row>
    <row r="22" spans="2:2" x14ac:dyDescent="0.25">
      <c r="B22" s="4"/>
    </row>
  </sheetData>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
  <dimension ref="A1:Q2"/>
  <sheetViews>
    <sheetView workbookViewId="0">
      <selection activeCell="E3" sqref="E3"/>
    </sheetView>
  </sheetViews>
  <sheetFormatPr defaultRowHeight="15" x14ac:dyDescent="0.25"/>
  <cols>
    <col min="1" max="1" width="10.85546875" bestFit="1" customWidth="1"/>
    <col min="2" max="2" width="13.140625" bestFit="1" customWidth="1"/>
    <col min="3" max="3" width="10.7109375" bestFit="1" customWidth="1"/>
    <col min="4" max="4" width="12.85546875" bestFit="1" customWidth="1"/>
    <col min="5" max="5" width="14.42578125" bestFit="1" customWidth="1"/>
    <col min="6" max="6" width="10.140625" bestFit="1" customWidth="1"/>
    <col min="7" max="7" width="11.28515625" bestFit="1" customWidth="1"/>
    <col min="8" max="8" width="10.140625" bestFit="1" customWidth="1"/>
    <col min="9" max="9" width="11.140625" bestFit="1" customWidth="1"/>
    <col min="10" max="10" width="15" bestFit="1" customWidth="1"/>
    <col min="11" max="12" width="10.140625" bestFit="1" customWidth="1"/>
    <col min="13" max="13" width="10.140625" customWidth="1"/>
    <col min="14" max="14" width="10.140625" bestFit="1" customWidth="1"/>
    <col min="15" max="15" width="12.5703125" bestFit="1" customWidth="1"/>
    <col min="16" max="16" width="17.5703125" bestFit="1" customWidth="1"/>
    <col min="17" max="17" width="8.7109375" bestFit="1" customWidth="1"/>
  </cols>
  <sheetData>
    <row r="1" spans="1:17" x14ac:dyDescent="0.25">
      <c r="A1" s="1" t="s">
        <v>105</v>
      </c>
      <c r="B1" s="1" t="s">
        <v>106</v>
      </c>
      <c r="C1" s="1" t="s">
        <v>107</v>
      </c>
      <c r="D1" s="1" t="s">
        <v>108</v>
      </c>
      <c r="E1" s="1" t="s">
        <v>109</v>
      </c>
      <c r="F1" s="1" t="s">
        <v>110</v>
      </c>
      <c r="G1" s="1" t="s">
        <v>111</v>
      </c>
      <c r="H1" s="1" t="s">
        <v>112</v>
      </c>
      <c r="I1" s="1" t="s">
        <v>113</v>
      </c>
      <c r="J1" s="1" t="s">
        <v>114</v>
      </c>
      <c r="K1" s="1" t="s">
        <v>115</v>
      </c>
      <c r="L1" s="1" t="s">
        <v>116</v>
      </c>
      <c r="M1" s="1" t="s">
        <v>117</v>
      </c>
      <c r="N1" s="1" t="s">
        <v>118</v>
      </c>
      <c r="O1" s="1" t="s">
        <v>119</v>
      </c>
      <c r="P1" s="1" t="s">
        <v>120</v>
      </c>
      <c r="Q1" s="1" t="s">
        <v>121</v>
      </c>
    </row>
    <row r="2" spans="1:17" x14ac:dyDescent="0.25">
      <c r="A2" s="1" t="s">
        <v>91</v>
      </c>
      <c r="B2" s="1" t="s">
        <v>91</v>
      </c>
      <c r="C2" s="1" t="s">
        <v>91</v>
      </c>
      <c r="D2" s="1" t="s">
        <v>91</v>
      </c>
      <c r="E2" s="1"/>
      <c r="F2" s="1" t="s">
        <v>91</v>
      </c>
      <c r="G2" s="1" t="s">
        <v>91</v>
      </c>
      <c r="H2" s="1" t="s">
        <v>91</v>
      </c>
      <c r="I2" s="1" t="s">
        <v>91</v>
      </c>
      <c r="J2" s="1"/>
      <c r="K2" s="1" t="s">
        <v>91</v>
      </c>
      <c r="L2" s="1" t="s">
        <v>91</v>
      </c>
      <c r="M2" s="1" t="s">
        <v>91</v>
      </c>
      <c r="N2" s="1" t="s">
        <v>91</v>
      </c>
      <c r="O2" s="1"/>
      <c r="P2" s="1"/>
      <c r="Q2" s="1"/>
    </row>
  </sheetData>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7"/>
  <dimension ref="A1:R22"/>
  <sheetViews>
    <sheetView topLeftCell="D1" workbookViewId="0">
      <selection activeCell="D1" sqref="D1:R1048576"/>
    </sheetView>
  </sheetViews>
  <sheetFormatPr defaultRowHeight="15" x14ac:dyDescent="0.25"/>
  <cols>
    <col min="1" max="1" width="17.28515625" bestFit="1" customWidth="1"/>
    <col min="2" max="2" width="17.42578125" bestFit="1" customWidth="1"/>
    <col min="3" max="3" width="26.5703125" customWidth="1"/>
    <col min="4" max="4" width="19.85546875" bestFit="1" customWidth="1"/>
    <col min="5" max="5" width="15.28515625" bestFit="1" customWidth="1"/>
    <col min="6" max="6" width="11.7109375" bestFit="1" customWidth="1"/>
    <col min="7" max="7" width="11.5703125" bestFit="1" customWidth="1"/>
    <col min="8" max="8" width="11.28515625" bestFit="1" customWidth="1"/>
    <col min="9" max="9" width="11.140625" bestFit="1" customWidth="1"/>
    <col min="10" max="10" width="15.7109375" bestFit="1" customWidth="1"/>
    <col min="11" max="11" width="9.85546875" bestFit="1" customWidth="1"/>
    <col min="12" max="12" width="6.7109375" bestFit="1" customWidth="1"/>
    <col min="13" max="13" width="8.140625" bestFit="1" customWidth="1"/>
    <col min="14" max="14" width="8" bestFit="1" customWidth="1"/>
    <col min="15" max="15" width="8.140625" bestFit="1" customWidth="1"/>
    <col min="16" max="16" width="10.140625" bestFit="1" customWidth="1"/>
    <col min="17" max="17" width="10" bestFit="1" customWidth="1"/>
    <col min="18" max="18" width="11" bestFit="1" customWidth="1"/>
  </cols>
  <sheetData>
    <row r="1" spans="1:18" x14ac:dyDescent="0.25">
      <c r="A1" s="2" t="s">
        <v>53</v>
      </c>
      <c r="B1" s="2" t="s">
        <v>195</v>
      </c>
      <c r="C1" s="2" t="s">
        <v>196</v>
      </c>
      <c r="D1" s="2" t="s">
        <v>197</v>
      </c>
      <c r="E1" s="2" t="s">
        <v>198</v>
      </c>
      <c r="F1" s="2" t="s">
        <v>199</v>
      </c>
      <c r="G1" s="2" t="s">
        <v>200</v>
      </c>
      <c r="H1" s="2" t="s">
        <v>201</v>
      </c>
      <c r="I1" s="2" t="s">
        <v>202</v>
      </c>
      <c r="J1" s="2" t="s">
        <v>61</v>
      </c>
      <c r="K1" s="2" t="s">
        <v>203</v>
      </c>
      <c r="L1" s="2" t="s">
        <v>69</v>
      </c>
      <c r="M1" s="2" t="s">
        <v>74</v>
      </c>
      <c r="N1" s="2" t="s">
        <v>77</v>
      </c>
      <c r="O1" s="2" t="s">
        <v>204</v>
      </c>
      <c r="P1" s="2" t="s">
        <v>205</v>
      </c>
      <c r="Q1" s="2" t="s">
        <v>206</v>
      </c>
      <c r="R1" s="2" t="s">
        <v>207</v>
      </c>
    </row>
    <row r="2" spans="1:18" x14ac:dyDescent="0.25">
      <c r="A2" s="2"/>
      <c r="B2" s="2" t="s">
        <v>89</v>
      </c>
      <c r="C2" s="2"/>
      <c r="D2" s="2"/>
      <c r="E2" s="2"/>
      <c r="F2" s="2" t="s">
        <v>90</v>
      </c>
      <c r="G2" s="2" t="s">
        <v>90</v>
      </c>
      <c r="H2" s="2" t="s">
        <v>21</v>
      </c>
      <c r="I2" s="2" t="s">
        <v>21</v>
      </c>
      <c r="J2" s="2" t="s">
        <v>89</v>
      </c>
      <c r="K2" s="2" t="s">
        <v>21</v>
      </c>
      <c r="L2" s="2"/>
      <c r="M2" s="2" t="s">
        <v>0</v>
      </c>
      <c r="N2" s="2" t="s">
        <v>0</v>
      </c>
      <c r="O2" s="2" t="s">
        <v>0</v>
      </c>
      <c r="P2" s="2"/>
      <c r="Q2" s="2"/>
      <c r="R2" s="2"/>
    </row>
    <row r="3" spans="1:18" x14ac:dyDescent="0.25">
      <c r="A3" t="s">
        <v>92</v>
      </c>
      <c r="B3" t="s">
        <v>208</v>
      </c>
      <c r="C3" t="s">
        <v>209</v>
      </c>
      <c r="D3" t="s">
        <v>210</v>
      </c>
      <c r="E3" t="s">
        <v>211</v>
      </c>
      <c r="F3">
        <v>100</v>
      </c>
      <c r="G3">
        <v>40</v>
      </c>
      <c r="H3">
        <v>70</v>
      </c>
      <c r="I3">
        <v>20</v>
      </c>
      <c r="J3" t="s">
        <v>94</v>
      </c>
      <c r="K3">
        <v>500</v>
      </c>
      <c r="L3">
        <v>1</v>
      </c>
      <c r="M3">
        <v>2000</v>
      </c>
      <c r="N3">
        <v>3000</v>
      </c>
      <c r="O3">
        <v>2500</v>
      </c>
      <c r="P3">
        <v>0.8</v>
      </c>
      <c r="Q3">
        <v>0.9</v>
      </c>
      <c r="R3">
        <v>1</v>
      </c>
    </row>
    <row r="4" spans="1:18" x14ac:dyDescent="0.25">
      <c r="A4" t="s">
        <v>92</v>
      </c>
      <c r="B4" t="s">
        <v>208</v>
      </c>
      <c r="C4" t="s">
        <v>212</v>
      </c>
      <c r="D4" t="s">
        <v>213</v>
      </c>
      <c r="E4" t="s">
        <v>211</v>
      </c>
      <c r="F4">
        <v>100</v>
      </c>
      <c r="G4">
        <v>40</v>
      </c>
      <c r="H4">
        <v>70</v>
      </c>
      <c r="I4">
        <v>20</v>
      </c>
      <c r="J4" t="s">
        <v>48</v>
      </c>
      <c r="K4">
        <v>0</v>
      </c>
      <c r="L4">
        <v>1</v>
      </c>
      <c r="M4">
        <v>2000</v>
      </c>
      <c r="N4">
        <v>3000</v>
      </c>
      <c r="O4">
        <v>2500</v>
      </c>
      <c r="P4">
        <v>0.8</v>
      </c>
      <c r="Q4">
        <v>0.9</v>
      </c>
      <c r="R4">
        <v>1</v>
      </c>
    </row>
    <row r="5" spans="1:18" x14ac:dyDescent="0.25">
      <c r="A5" t="s">
        <v>92</v>
      </c>
      <c r="B5" t="s">
        <v>208</v>
      </c>
      <c r="C5" t="s">
        <v>214</v>
      </c>
      <c r="D5" t="s">
        <v>215</v>
      </c>
      <c r="E5" t="s">
        <v>216</v>
      </c>
      <c r="F5">
        <v>100</v>
      </c>
      <c r="G5">
        <v>40</v>
      </c>
      <c r="H5">
        <v>70</v>
      </c>
      <c r="I5">
        <v>20</v>
      </c>
      <c r="J5" t="s">
        <v>48</v>
      </c>
      <c r="K5">
        <v>0</v>
      </c>
      <c r="L5">
        <v>1</v>
      </c>
      <c r="M5">
        <v>2000</v>
      </c>
      <c r="N5">
        <v>3000</v>
      </c>
      <c r="O5">
        <v>2500</v>
      </c>
      <c r="P5">
        <v>0.8</v>
      </c>
      <c r="Q5">
        <v>0.9</v>
      </c>
      <c r="R5">
        <v>1</v>
      </c>
    </row>
    <row r="6" spans="1:18" x14ac:dyDescent="0.25">
      <c r="A6" t="s">
        <v>92</v>
      </c>
      <c r="B6" t="s">
        <v>208</v>
      </c>
      <c r="C6" t="s">
        <v>217</v>
      </c>
      <c r="D6" t="s">
        <v>218</v>
      </c>
      <c r="E6" t="s">
        <v>219</v>
      </c>
      <c r="F6">
        <v>100</v>
      </c>
      <c r="G6">
        <v>40</v>
      </c>
      <c r="H6">
        <v>70</v>
      </c>
      <c r="I6">
        <v>20</v>
      </c>
      <c r="J6" t="s">
        <v>48</v>
      </c>
      <c r="K6">
        <v>0</v>
      </c>
      <c r="L6">
        <v>1</v>
      </c>
      <c r="M6">
        <v>2000</v>
      </c>
      <c r="N6">
        <v>3000</v>
      </c>
      <c r="O6">
        <v>2500</v>
      </c>
      <c r="P6">
        <v>0.8</v>
      </c>
      <c r="Q6">
        <v>0.9</v>
      </c>
      <c r="R6">
        <v>1</v>
      </c>
    </row>
    <row r="11" spans="1:18" x14ac:dyDescent="0.25">
      <c r="A11" s="4"/>
      <c r="B11" s="4"/>
      <c r="C11" s="4"/>
      <c r="D11" s="4"/>
      <c r="E11" s="4"/>
    </row>
    <row r="18" spans="1:5" x14ac:dyDescent="0.25">
      <c r="A18" s="4"/>
      <c r="B18" s="4"/>
      <c r="C18" s="4"/>
      <c r="D18" s="4"/>
      <c r="E18" s="4"/>
    </row>
    <row r="19" spans="1:5" x14ac:dyDescent="0.25">
      <c r="A19" s="11"/>
      <c r="B19" s="11"/>
      <c r="C19" s="11"/>
      <c r="D19" s="11"/>
      <c r="E19" s="11"/>
    </row>
    <row r="22" spans="1:5" x14ac:dyDescent="0.25">
      <c r="A22" s="4"/>
      <c r="B22" s="4"/>
      <c r="C22" s="4"/>
      <c r="D22" s="4"/>
      <c r="E22" s="4"/>
    </row>
  </sheetData>
  <pageMargins left="0.7" right="0.7" top="0.75" bottom="0.75" header="0.3" footer="0.3"/>
  <pageSetup paperSize="9"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8"/>
  <dimension ref="A1:W2"/>
  <sheetViews>
    <sheetView workbookViewId="0">
      <selection activeCell="A3" sqref="A3:XFD8"/>
    </sheetView>
  </sheetViews>
  <sheetFormatPr defaultRowHeight="15" x14ac:dyDescent="0.25"/>
  <cols>
    <col min="2" max="2" width="11.7109375" customWidth="1"/>
    <col min="3" max="3" width="13.140625" bestFit="1" customWidth="1"/>
    <col min="4" max="4" width="13.140625" customWidth="1"/>
    <col min="5" max="5" width="10.7109375" bestFit="1" customWidth="1"/>
    <col min="6" max="7" width="13.7109375" customWidth="1"/>
    <col min="8" max="8" width="11.28515625" customWidth="1"/>
    <col min="9" max="11" width="11.42578125" customWidth="1"/>
    <col min="12" max="12" width="10.140625" bestFit="1" customWidth="1"/>
    <col min="13" max="13" width="11.140625" bestFit="1" customWidth="1"/>
    <col min="14" max="19" width="11.42578125" customWidth="1"/>
    <col min="20" max="20" width="14" bestFit="1" customWidth="1"/>
    <col min="21" max="21" width="11.42578125" customWidth="1"/>
    <col min="22" max="22" width="9.85546875" bestFit="1" customWidth="1"/>
  </cols>
  <sheetData>
    <row r="1" spans="1:23" x14ac:dyDescent="0.25">
      <c r="A1" s="1" t="s">
        <v>220</v>
      </c>
      <c r="B1" s="1" t="s">
        <v>221</v>
      </c>
      <c r="C1" s="1" t="s">
        <v>222</v>
      </c>
      <c r="D1" s="1" t="s">
        <v>286</v>
      </c>
      <c r="E1" s="1" t="s">
        <v>223</v>
      </c>
      <c r="F1" s="1" t="s">
        <v>224</v>
      </c>
      <c r="G1" s="1" t="s">
        <v>287</v>
      </c>
      <c r="H1" s="1" t="s">
        <v>225</v>
      </c>
      <c r="I1" s="1" t="s">
        <v>226</v>
      </c>
      <c r="J1" s="1" t="s">
        <v>227</v>
      </c>
      <c r="K1" s="1" t="s">
        <v>285</v>
      </c>
      <c r="L1" s="1" t="s">
        <v>228</v>
      </c>
      <c r="M1" s="1" t="s">
        <v>229</v>
      </c>
      <c r="N1" s="1" t="s">
        <v>284</v>
      </c>
      <c r="O1" s="1" t="s">
        <v>279</v>
      </c>
      <c r="P1" s="1" t="s">
        <v>280</v>
      </c>
      <c r="Q1" s="1" t="s">
        <v>281</v>
      </c>
      <c r="R1" s="1" t="s">
        <v>282</v>
      </c>
      <c r="S1" s="1" t="s">
        <v>288</v>
      </c>
      <c r="T1" s="1" t="s">
        <v>289</v>
      </c>
      <c r="U1" s="1" t="s">
        <v>283</v>
      </c>
      <c r="V1" s="1" t="s">
        <v>121</v>
      </c>
      <c r="W1" s="1" t="s">
        <v>290</v>
      </c>
    </row>
    <row r="2" spans="1:23" x14ac:dyDescent="0.25">
      <c r="A2" s="1"/>
      <c r="B2" s="1" t="s">
        <v>21</v>
      </c>
      <c r="C2" s="1" t="s">
        <v>21</v>
      </c>
      <c r="D2" s="1"/>
      <c r="E2" s="1" t="s">
        <v>21</v>
      </c>
      <c r="F2" s="1" t="s">
        <v>21</v>
      </c>
      <c r="G2" s="1"/>
      <c r="H2" s="1" t="s">
        <v>90</v>
      </c>
      <c r="I2" s="1" t="s">
        <v>90</v>
      </c>
      <c r="J2" s="1" t="s">
        <v>90</v>
      </c>
      <c r="K2" s="1"/>
      <c r="L2" s="1" t="s">
        <v>90</v>
      </c>
      <c r="M2" s="1" t="s">
        <v>90</v>
      </c>
      <c r="N2" s="1"/>
      <c r="O2" s="1" t="s">
        <v>21</v>
      </c>
      <c r="P2" s="1" t="s">
        <v>21</v>
      </c>
      <c r="Q2" s="1" t="s">
        <v>21</v>
      </c>
      <c r="R2" s="1" t="s">
        <v>21</v>
      </c>
      <c r="S2" s="1"/>
      <c r="T2" s="1"/>
      <c r="U2" s="1"/>
      <c r="V2" s="1"/>
      <c r="W2" s="1"/>
    </row>
  </sheetData>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9"/>
  <dimension ref="A1:Q22"/>
  <sheetViews>
    <sheetView topLeftCell="F1" workbookViewId="0">
      <selection activeCell="F1" sqref="F1:Q1048576"/>
    </sheetView>
  </sheetViews>
  <sheetFormatPr defaultRowHeight="15" x14ac:dyDescent="0.25"/>
  <cols>
    <col min="3" max="3" width="17.42578125" bestFit="1" customWidth="1"/>
    <col min="4" max="5" width="17.42578125" customWidth="1"/>
    <col min="6" max="6" width="15.28515625" bestFit="1" customWidth="1"/>
    <col min="7" max="8" width="10.28515625" bestFit="1" customWidth="1"/>
    <col min="9" max="10" width="9.85546875" bestFit="1" customWidth="1"/>
    <col min="11" max="11" width="15.7109375" bestFit="1" customWidth="1"/>
    <col min="12" max="12" width="8.140625" bestFit="1" customWidth="1"/>
    <col min="13" max="13" width="6.7109375" bestFit="1" customWidth="1"/>
    <col min="14" max="15" width="8.140625" bestFit="1" customWidth="1"/>
    <col min="16" max="16" width="8" bestFit="1" customWidth="1"/>
    <col min="17" max="17" width="8.5703125" bestFit="1" customWidth="1"/>
  </cols>
  <sheetData>
    <row r="1" spans="1:17" x14ac:dyDescent="0.25">
      <c r="A1" s="2" t="s">
        <v>53</v>
      </c>
      <c r="B1" s="2" t="s">
        <v>230</v>
      </c>
      <c r="C1" s="2" t="s">
        <v>195</v>
      </c>
      <c r="D1" s="2" t="s">
        <v>196</v>
      </c>
      <c r="E1" s="2" t="s">
        <v>197</v>
      </c>
      <c r="F1" s="2" t="s">
        <v>198</v>
      </c>
      <c r="G1" s="2" t="s">
        <v>231</v>
      </c>
      <c r="H1" s="2" t="s">
        <v>232</v>
      </c>
      <c r="I1" s="2" t="s">
        <v>233</v>
      </c>
      <c r="J1" s="2" t="s">
        <v>234</v>
      </c>
      <c r="K1" s="2" t="s">
        <v>61</v>
      </c>
      <c r="L1" s="2" t="s">
        <v>235</v>
      </c>
      <c r="M1" s="2" t="s">
        <v>69</v>
      </c>
      <c r="N1" s="2" t="s">
        <v>87</v>
      </c>
      <c r="O1" s="2" t="s">
        <v>74</v>
      </c>
      <c r="P1" s="2" t="s">
        <v>77</v>
      </c>
      <c r="Q1" s="2" t="s">
        <v>236</v>
      </c>
    </row>
    <row r="2" spans="1:17" x14ac:dyDescent="0.25">
      <c r="A2" s="2"/>
      <c r="B2" s="2" t="s">
        <v>89</v>
      </c>
      <c r="C2" s="2" t="s">
        <v>89</v>
      </c>
      <c r="D2" s="2" t="s">
        <v>89</v>
      </c>
      <c r="E2" s="2" t="s">
        <v>89</v>
      </c>
      <c r="F2" s="2" t="s">
        <v>89</v>
      </c>
      <c r="G2" s="2" t="s">
        <v>178</v>
      </c>
      <c r="H2" s="2" t="s">
        <v>178</v>
      </c>
      <c r="I2" s="2" t="s">
        <v>41</v>
      </c>
      <c r="J2" s="2" t="s">
        <v>41</v>
      </c>
      <c r="K2" s="2" t="s">
        <v>89</v>
      </c>
      <c r="L2" s="2" t="s">
        <v>41</v>
      </c>
      <c r="M2" s="2"/>
      <c r="N2" s="2" t="s">
        <v>40</v>
      </c>
      <c r="O2" s="2" t="s">
        <v>40</v>
      </c>
      <c r="P2" s="2" t="s">
        <v>40</v>
      </c>
      <c r="Q2" s="2"/>
    </row>
    <row r="3" spans="1:17" x14ac:dyDescent="0.25">
      <c r="A3" t="s">
        <v>92</v>
      </c>
      <c r="B3" t="s">
        <v>237</v>
      </c>
      <c r="C3" t="s">
        <v>208</v>
      </c>
      <c r="D3" t="s">
        <v>238</v>
      </c>
      <c r="E3" t="s">
        <v>239</v>
      </c>
      <c r="F3" t="s">
        <v>240</v>
      </c>
      <c r="G3">
        <v>10</v>
      </c>
      <c r="H3">
        <v>7</v>
      </c>
      <c r="I3">
        <v>5</v>
      </c>
      <c r="J3">
        <v>3</v>
      </c>
      <c r="K3" t="s">
        <v>48</v>
      </c>
      <c r="L3">
        <v>0</v>
      </c>
      <c r="M3">
        <v>1</v>
      </c>
      <c r="N3">
        <v>8</v>
      </c>
      <c r="O3">
        <v>12</v>
      </c>
      <c r="P3">
        <v>5</v>
      </c>
      <c r="Q3">
        <v>1</v>
      </c>
    </row>
    <row r="4" spans="1:17" x14ac:dyDescent="0.25">
      <c r="A4" t="s">
        <v>92</v>
      </c>
      <c r="B4" t="s">
        <v>237</v>
      </c>
      <c r="C4" t="s">
        <v>208</v>
      </c>
      <c r="D4" t="s">
        <v>238</v>
      </c>
      <c r="E4" t="s">
        <v>239</v>
      </c>
      <c r="F4" t="s">
        <v>240</v>
      </c>
      <c r="G4">
        <v>10</v>
      </c>
      <c r="H4">
        <v>10</v>
      </c>
      <c r="I4">
        <v>12</v>
      </c>
      <c r="J4">
        <v>6</v>
      </c>
      <c r="K4" t="s">
        <v>94</v>
      </c>
      <c r="L4">
        <v>25</v>
      </c>
      <c r="M4">
        <v>1</v>
      </c>
      <c r="N4">
        <v>8</v>
      </c>
      <c r="O4">
        <v>12</v>
      </c>
      <c r="P4">
        <v>5</v>
      </c>
      <c r="Q4">
        <v>1</v>
      </c>
    </row>
    <row r="5" spans="1:17" x14ac:dyDescent="0.25">
      <c r="A5" t="s">
        <v>92</v>
      </c>
      <c r="B5" t="s">
        <v>237</v>
      </c>
      <c r="C5" t="s">
        <v>208</v>
      </c>
      <c r="D5" t="s">
        <v>238</v>
      </c>
      <c r="E5" t="s">
        <v>239</v>
      </c>
      <c r="F5" t="s">
        <v>240</v>
      </c>
      <c r="G5">
        <v>10</v>
      </c>
      <c r="H5">
        <v>15</v>
      </c>
      <c r="I5">
        <v>7</v>
      </c>
      <c r="J5">
        <v>5</v>
      </c>
      <c r="K5" t="s">
        <v>98</v>
      </c>
      <c r="L5">
        <v>50</v>
      </c>
      <c r="M5">
        <v>1</v>
      </c>
      <c r="N5">
        <v>8</v>
      </c>
      <c r="O5">
        <v>12</v>
      </c>
      <c r="P5">
        <v>5</v>
      </c>
      <c r="Q5">
        <v>1</v>
      </c>
    </row>
    <row r="6" spans="1:17" x14ac:dyDescent="0.25">
      <c r="A6" t="s">
        <v>92</v>
      </c>
      <c r="B6" t="s">
        <v>237</v>
      </c>
      <c r="C6" t="s">
        <v>208</v>
      </c>
      <c r="D6" t="s">
        <v>238</v>
      </c>
      <c r="E6" t="s">
        <v>239</v>
      </c>
      <c r="F6" t="s">
        <v>240</v>
      </c>
      <c r="G6">
        <v>10</v>
      </c>
      <c r="H6">
        <v>5</v>
      </c>
      <c r="I6">
        <v>3</v>
      </c>
      <c r="J6">
        <v>5</v>
      </c>
      <c r="K6" t="s">
        <v>48</v>
      </c>
      <c r="L6">
        <v>0</v>
      </c>
      <c r="M6">
        <v>1</v>
      </c>
      <c r="N6">
        <v>8</v>
      </c>
      <c r="O6">
        <v>12</v>
      </c>
      <c r="P6">
        <v>5</v>
      </c>
      <c r="Q6">
        <v>1</v>
      </c>
    </row>
    <row r="11" spans="1:17" x14ac:dyDescent="0.25">
      <c r="A11" s="4"/>
      <c r="B11" s="4"/>
      <c r="C11" s="4"/>
      <c r="D11" s="4"/>
      <c r="E11" s="4"/>
      <c r="F11" s="4"/>
    </row>
    <row r="18" spans="1:6" x14ac:dyDescent="0.25">
      <c r="A18" s="4"/>
      <c r="B18" s="4"/>
      <c r="C18" s="4"/>
      <c r="D18" s="4"/>
      <c r="E18" s="4"/>
      <c r="F18" s="4"/>
    </row>
    <row r="19" spans="1:6" x14ac:dyDescent="0.25">
      <c r="A19" s="11"/>
      <c r="B19" s="11"/>
      <c r="C19" s="11"/>
      <c r="D19" s="11"/>
      <c r="E19" s="11"/>
      <c r="F19" s="11"/>
    </row>
    <row r="22" spans="1:6" x14ac:dyDescent="0.25">
      <c r="A22" s="4"/>
      <c r="B22" s="4"/>
      <c r="C22" s="4"/>
      <c r="D22" s="4"/>
      <c r="E22" s="4"/>
      <c r="F22" s="4"/>
    </row>
  </sheetData>
  <pageMargins left="0.7" right="0.7" top="0.75" bottom="0.75" header="0.3" footer="0.3"/>
  <pageSetup paperSize="9"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20"/>
  <dimension ref="A1:Q2"/>
  <sheetViews>
    <sheetView topLeftCell="E1" workbookViewId="0">
      <selection activeCell="E3" sqref="A3:XFD8"/>
    </sheetView>
  </sheetViews>
  <sheetFormatPr defaultRowHeight="15" x14ac:dyDescent="0.25"/>
  <cols>
    <col min="1" max="1" width="11.7109375" customWidth="1"/>
    <col min="2" max="2" width="13.140625" bestFit="1" customWidth="1"/>
    <col min="3" max="3" width="13.140625" customWidth="1"/>
    <col min="4" max="4" width="10.7109375" bestFit="1" customWidth="1"/>
    <col min="5" max="6" width="13.7109375" customWidth="1"/>
    <col min="7" max="7" width="11.28515625" customWidth="1"/>
    <col min="8" max="16" width="11.42578125" customWidth="1"/>
    <col min="17" max="17" width="9.85546875" bestFit="1" customWidth="1"/>
  </cols>
  <sheetData>
    <row r="1" spans="1:17" x14ac:dyDescent="0.25">
      <c r="A1" s="1" t="s">
        <v>241</v>
      </c>
      <c r="B1" s="1" t="s">
        <v>242</v>
      </c>
      <c r="C1" s="1" t="s">
        <v>291</v>
      </c>
      <c r="D1" s="1" t="s">
        <v>243</v>
      </c>
      <c r="E1" s="1" t="s">
        <v>244</v>
      </c>
      <c r="F1" s="1" t="s">
        <v>286</v>
      </c>
      <c r="G1" s="1" t="s">
        <v>245</v>
      </c>
      <c r="H1" s="1" t="s">
        <v>246</v>
      </c>
      <c r="I1" s="1" t="s">
        <v>292</v>
      </c>
      <c r="J1" s="1" t="s">
        <v>247</v>
      </c>
      <c r="K1" s="1" t="s">
        <v>248</v>
      </c>
      <c r="L1" s="1" t="s">
        <v>285</v>
      </c>
      <c r="M1" s="1" t="s">
        <v>294</v>
      </c>
      <c r="N1" s="1" t="s">
        <v>293</v>
      </c>
      <c r="O1" s="1" t="s">
        <v>295</v>
      </c>
      <c r="P1" s="1" t="s">
        <v>283</v>
      </c>
      <c r="Q1" s="1" t="s">
        <v>121</v>
      </c>
    </row>
    <row r="2" spans="1:17" x14ac:dyDescent="0.25">
      <c r="A2" s="1" t="s">
        <v>41</v>
      </c>
      <c r="B2" s="1" t="s">
        <v>41</v>
      </c>
      <c r="C2" s="1"/>
      <c r="D2" s="1" t="s">
        <v>41</v>
      </c>
      <c r="E2" s="1" t="s">
        <v>41</v>
      </c>
      <c r="F2" s="1"/>
      <c r="G2" s="1" t="s">
        <v>178</v>
      </c>
      <c r="H2" s="1" t="s">
        <v>178</v>
      </c>
      <c r="I2" s="1"/>
      <c r="J2" s="1" t="s">
        <v>178</v>
      </c>
      <c r="K2" s="1" t="s">
        <v>178</v>
      </c>
      <c r="L2" s="1"/>
      <c r="M2" s="1" t="s">
        <v>41</v>
      </c>
      <c r="N2" s="1" t="s">
        <v>41</v>
      </c>
      <c r="O2" s="1"/>
      <c r="P2" s="1"/>
      <c r="Q2" s="1"/>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1"/>
  <dimension ref="A1:W1048576"/>
  <sheetViews>
    <sheetView workbookViewId="0">
      <selection activeCell="A3" sqref="A3:XFD9"/>
    </sheetView>
  </sheetViews>
  <sheetFormatPr defaultRowHeight="15" x14ac:dyDescent="0.25"/>
  <cols>
    <col min="2" max="2" width="16.28515625" bestFit="1" customWidth="1"/>
    <col min="3" max="3" width="22.7109375" bestFit="1" customWidth="1"/>
    <col min="4" max="4" width="19.85546875" bestFit="1" customWidth="1"/>
    <col min="5" max="5" width="15.28515625" bestFit="1" customWidth="1"/>
    <col min="6" max="7" width="9" bestFit="1" customWidth="1"/>
    <col min="8" max="9" width="15.140625" customWidth="1"/>
    <col min="10" max="10" width="17.28515625" customWidth="1"/>
    <col min="11" max="11" width="9.5703125" bestFit="1" customWidth="1"/>
    <col min="15" max="15" width="19" customWidth="1"/>
    <col min="16" max="17" width="10" bestFit="1" customWidth="1"/>
    <col min="21" max="22" width="10.85546875" bestFit="1" customWidth="1"/>
  </cols>
  <sheetData>
    <row r="1" spans="1:23" x14ac:dyDescent="0.25">
      <c r="A1" s="2" t="s">
        <v>53</v>
      </c>
      <c r="B1" s="2" t="s">
        <v>195</v>
      </c>
      <c r="C1" s="2" t="s">
        <v>196</v>
      </c>
      <c r="D1" s="2" t="s">
        <v>197</v>
      </c>
      <c r="E1" s="2" t="s">
        <v>198</v>
      </c>
      <c r="F1" s="2" t="s">
        <v>249</v>
      </c>
      <c r="G1" s="2" t="s">
        <v>250</v>
      </c>
      <c r="H1" s="2" t="s">
        <v>251</v>
      </c>
      <c r="I1" s="2" t="s">
        <v>252</v>
      </c>
      <c r="J1" s="2" t="s">
        <v>61</v>
      </c>
      <c r="K1" s="2" t="s">
        <v>253</v>
      </c>
      <c r="L1" s="2" t="s">
        <v>69</v>
      </c>
      <c r="M1" s="2" t="s">
        <v>87</v>
      </c>
      <c r="N1" s="2" t="s">
        <v>74</v>
      </c>
      <c r="O1" s="2" t="s">
        <v>254</v>
      </c>
      <c r="P1" s="2" t="s">
        <v>255</v>
      </c>
      <c r="Q1" s="2" t="s">
        <v>75</v>
      </c>
      <c r="R1" s="2" t="s">
        <v>256</v>
      </c>
      <c r="S1" s="2" t="s">
        <v>257</v>
      </c>
      <c r="T1" s="2" t="s">
        <v>258</v>
      </c>
      <c r="U1" s="2" t="s">
        <v>259</v>
      </c>
      <c r="V1" s="2" t="s">
        <v>260</v>
      </c>
      <c r="W1" s="2" t="s">
        <v>261</v>
      </c>
    </row>
    <row r="2" spans="1:23" x14ac:dyDescent="0.25">
      <c r="A2" s="2"/>
      <c r="B2" s="2" t="s">
        <v>89</v>
      </c>
      <c r="C2" s="2" t="s">
        <v>89</v>
      </c>
      <c r="D2" s="2" t="s">
        <v>89</v>
      </c>
      <c r="E2" s="2" t="s">
        <v>89</v>
      </c>
      <c r="F2" s="2" t="s">
        <v>90</v>
      </c>
      <c r="G2" s="2" t="s">
        <v>90</v>
      </c>
      <c r="H2" s="2" t="s">
        <v>21</v>
      </c>
      <c r="I2" s="2" t="s">
        <v>21</v>
      </c>
      <c r="J2" s="2" t="s">
        <v>89</v>
      </c>
      <c r="K2" s="2" t="s">
        <v>21</v>
      </c>
      <c r="L2" s="2"/>
      <c r="M2" s="2" t="s">
        <v>0</v>
      </c>
      <c r="N2" s="2" t="s">
        <v>0</v>
      </c>
      <c r="O2" s="2"/>
      <c r="P2" s="2"/>
      <c r="Q2" s="2"/>
      <c r="R2" s="2"/>
      <c r="S2" s="2"/>
      <c r="T2" s="2"/>
      <c r="U2" s="2"/>
      <c r="V2" s="2"/>
      <c r="W2" s="2" t="s">
        <v>138</v>
      </c>
    </row>
    <row r="3" spans="1:23" x14ac:dyDescent="0.25">
      <c r="A3" t="s">
        <v>92</v>
      </c>
      <c r="B3" t="s">
        <v>208</v>
      </c>
      <c r="C3" t="s">
        <v>209</v>
      </c>
      <c r="D3" t="s">
        <v>262</v>
      </c>
      <c r="E3" s="24" t="s">
        <v>263</v>
      </c>
      <c r="F3">
        <v>50</v>
      </c>
      <c r="G3">
        <v>30</v>
      </c>
      <c r="H3">
        <v>40</v>
      </c>
      <c r="I3">
        <v>20</v>
      </c>
      <c r="J3" t="s">
        <v>48</v>
      </c>
      <c r="K3">
        <v>0</v>
      </c>
      <c r="L3">
        <v>1</v>
      </c>
      <c r="M3">
        <v>2500</v>
      </c>
      <c r="N3">
        <v>1500</v>
      </c>
      <c r="O3">
        <v>1</v>
      </c>
      <c r="P3">
        <v>1</v>
      </c>
      <c r="Q3">
        <v>1</v>
      </c>
      <c r="R3">
        <v>1</v>
      </c>
      <c r="S3">
        <v>1</v>
      </c>
      <c r="T3">
        <v>1</v>
      </c>
      <c r="U3">
        <v>1</v>
      </c>
      <c r="V3">
        <v>-1</v>
      </c>
      <c r="W3">
        <v>0</v>
      </c>
    </row>
    <row r="4" spans="1:23" x14ac:dyDescent="0.25">
      <c r="A4" t="s">
        <v>92</v>
      </c>
      <c r="B4" t="s">
        <v>208</v>
      </c>
      <c r="C4" t="s">
        <v>264</v>
      </c>
      <c r="D4" t="s">
        <v>263</v>
      </c>
      <c r="E4" s="24" t="s">
        <v>263</v>
      </c>
      <c r="F4">
        <v>50</v>
      </c>
      <c r="G4">
        <v>30</v>
      </c>
      <c r="H4">
        <v>40</v>
      </c>
      <c r="I4">
        <v>20</v>
      </c>
      <c r="J4" t="s">
        <v>94</v>
      </c>
      <c r="K4">
        <v>200</v>
      </c>
      <c r="L4">
        <v>2</v>
      </c>
      <c r="M4">
        <v>2500</v>
      </c>
      <c r="N4">
        <v>1500</v>
      </c>
    </row>
    <row r="5" spans="1:23" x14ac:dyDescent="0.25">
      <c r="A5" t="s">
        <v>92</v>
      </c>
      <c r="B5" t="s">
        <v>208</v>
      </c>
      <c r="C5" t="s">
        <v>265</v>
      </c>
      <c r="D5" s="24" t="s">
        <v>266</v>
      </c>
      <c r="E5" s="24" t="s">
        <v>263</v>
      </c>
      <c r="F5">
        <v>0</v>
      </c>
      <c r="G5">
        <v>0</v>
      </c>
      <c r="H5">
        <v>0</v>
      </c>
      <c r="I5">
        <v>0</v>
      </c>
      <c r="J5" t="s">
        <v>98</v>
      </c>
      <c r="K5">
        <v>200</v>
      </c>
      <c r="L5">
        <v>2</v>
      </c>
      <c r="M5">
        <v>2500</v>
      </c>
      <c r="N5">
        <v>1500</v>
      </c>
    </row>
    <row r="12" spans="1:23" x14ac:dyDescent="0.25">
      <c r="A12" s="4"/>
      <c r="B12" s="4"/>
      <c r="C12" s="4"/>
      <c r="D12" s="4"/>
      <c r="E12" s="4"/>
    </row>
    <row r="19" spans="1:5" x14ac:dyDescent="0.25">
      <c r="A19" s="4"/>
      <c r="B19" s="4"/>
      <c r="C19" s="4"/>
      <c r="D19" s="4"/>
      <c r="E19" s="4"/>
    </row>
    <row r="20" spans="1:5" x14ac:dyDescent="0.25">
      <c r="A20" s="11"/>
      <c r="B20" s="11"/>
      <c r="C20" s="11"/>
      <c r="D20" s="11"/>
      <c r="E20" s="11"/>
    </row>
    <row r="23" spans="1:5" x14ac:dyDescent="0.25">
      <c r="A23" s="4"/>
      <c r="B23" s="4"/>
      <c r="C23" s="4"/>
      <c r="D23" s="4"/>
      <c r="E23" s="4"/>
    </row>
    <row r="1048576" spans="1:1" x14ac:dyDescent="0.25">
      <c r="A1048576" s="14" t="s">
        <v>92</v>
      </c>
    </row>
  </sheetData>
  <pageMargins left="0.7" right="0.7" top="0.75" bottom="0.75" header="0.3" footer="0.3"/>
  <pageSetup orientation="portrait" horizontalDpi="300" verticalDpi="0" copies="0"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22"/>
  <dimension ref="A1:W2"/>
  <sheetViews>
    <sheetView workbookViewId="0">
      <selection activeCell="A3" sqref="A3:XFD9"/>
    </sheetView>
  </sheetViews>
  <sheetFormatPr defaultRowHeight="15" x14ac:dyDescent="0.25"/>
  <cols>
    <col min="1" max="1" width="11.28515625" customWidth="1"/>
    <col min="2" max="2" width="11.42578125" customWidth="1"/>
    <col min="3" max="4" width="10.140625" customWidth="1"/>
    <col min="5" max="8" width="11.42578125" customWidth="1"/>
    <col min="9" max="9" width="11.7109375" customWidth="1"/>
    <col min="10" max="10" width="13.140625" bestFit="1" customWidth="1"/>
    <col min="11" max="11" width="13.140625" customWidth="1"/>
    <col min="12" max="12" width="10.7109375" bestFit="1" customWidth="1"/>
    <col min="13" max="14" width="13.7109375" customWidth="1"/>
    <col min="15" max="22" width="11.28515625" customWidth="1"/>
    <col min="23" max="23" width="9.85546875" bestFit="1" customWidth="1"/>
  </cols>
  <sheetData>
    <row r="1" spans="1:23" x14ac:dyDescent="0.25">
      <c r="A1" s="1" t="s">
        <v>267</v>
      </c>
      <c r="B1" s="1" t="s">
        <v>268</v>
      </c>
      <c r="C1" s="1" t="s">
        <v>271</v>
      </c>
      <c r="D1" s="1" t="s">
        <v>292</v>
      </c>
      <c r="E1" s="1" t="s">
        <v>269</v>
      </c>
      <c r="F1" s="1" t="s">
        <v>270</v>
      </c>
      <c r="G1" s="1" t="s">
        <v>296</v>
      </c>
      <c r="H1" s="1" t="s">
        <v>285</v>
      </c>
      <c r="I1" s="1" t="s">
        <v>272</v>
      </c>
      <c r="J1" s="1" t="s">
        <v>297</v>
      </c>
      <c r="K1" s="1" t="s">
        <v>291</v>
      </c>
      <c r="L1" s="1" t="s">
        <v>273</v>
      </c>
      <c r="M1" s="1" t="s">
        <v>298</v>
      </c>
      <c r="N1" s="1" t="s">
        <v>286</v>
      </c>
      <c r="O1" s="1" t="s">
        <v>274</v>
      </c>
      <c r="P1" s="1" t="s">
        <v>275</v>
      </c>
      <c r="Q1" s="1" t="s">
        <v>276</v>
      </c>
      <c r="R1" s="1" t="s">
        <v>277</v>
      </c>
      <c r="S1" s="1" t="s">
        <v>289</v>
      </c>
      <c r="T1" s="1" t="s">
        <v>278</v>
      </c>
      <c r="U1" s="1" t="s">
        <v>288</v>
      </c>
      <c r="V1" s="1" t="s">
        <v>283</v>
      </c>
      <c r="W1" s="1" t="s">
        <v>121</v>
      </c>
    </row>
    <row r="2" spans="1:23" x14ac:dyDescent="0.25">
      <c r="A2" s="1" t="s">
        <v>90</v>
      </c>
      <c r="B2" s="1" t="s">
        <v>90</v>
      </c>
      <c r="C2" s="1" t="s">
        <v>90</v>
      </c>
      <c r="D2" s="1"/>
      <c r="E2" s="1" t="s">
        <v>90</v>
      </c>
      <c r="F2" s="1" t="s">
        <v>90</v>
      </c>
      <c r="G2" s="1" t="s">
        <v>90</v>
      </c>
      <c r="H2" s="1"/>
      <c r="I2" s="1" t="s">
        <v>21</v>
      </c>
      <c r="J2" s="1" t="s">
        <v>21</v>
      </c>
      <c r="K2" s="1"/>
      <c r="L2" s="1" t="s">
        <v>21</v>
      </c>
      <c r="M2" s="1" t="s">
        <v>21</v>
      </c>
      <c r="N2" s="1"/>
      <c r="O2" s="1" t="s">
        <v>21</v>
      </c>
      <c r="P2" s="1" t="s">
        <v>21</v>
      </c>
      <c r="Q2" s="1" t="s">
        <v>21</v>
      </c>
      <c r="R2" s="1" t="s">
        <v>21</v>
      </c>
      <c r="S2" s="1"/>
      <c r="T2" s="1" t="s">
        <v>21</v>
      </c>
      <c r="U2" s="1"/>
      <c r="V2" s="1"/>
      <c r="W2" s="1"/>
    </row>
  </sheetData>
  <pageMargins left="0.7" right="0.7" top="0.75" bottom="0.75" header="0.3" footer="0.3"/>
  <pageSetup orientation="portrait" horizontalDpi="300" verticalDpi="0" copies="0"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
  <dimension ref="A1:AJ21"/>
  <sheetViews>
    <sheetView workbookViewId="0">
      <selection activeCell="A4" sqref="A4:XFD4"/>
    </sheetView>
  </sheetViews>
  <sheetFormatPr defaultRowHeight="15" x14ac:dyDescent="0.25"/>
  <cols>
    <col min="1" max="1" width="17.28515625" bestFit="1" customWidth="1"/>
    <col min="2" max="2" width="34" bestFit="1" customWidth="1"/>
    <col min="3" max="3" width="17.42578125" bestFit="1" customWidth="1"/>
    <col min="4" max="4" width="10.7109375" bestFit="1" customWidth="1"/>
    <col min="5" max="5" width="10.5703125" bestFit="1" customWidth="1"/>
    <col min="6" max="6" width="10" bestFit="1" customWidth="1"/>
    <col min="7" max="7" width="9.85546875" bestFit="1" customWidth="1"/>
    <col min="8" max="8" width="14.140625" bestFit="1" customWidth="1"/>
    <col min="9" max="9" width="14" bestFit="1" customWidth="1"/>
    <col min="10" max="10" width="15.7109375" bestFit="1" customWidth="1"/>
    <col min="11" max="11" width="8.5703125" bestFit="1" customWidth="1"/>
    <col min="12" max="12" width="17.42578125" bestFit="1" customWidth="1"/>
    <col min="13" max="13" width="20.5703125" bestFit="1" customWidth="1"/>
    <col min="14" max="14" width="20.7109375" bestFit="1" customWidth="1"/>
    <col min="15" max="16" width="6.42578125" bestFit="1" customWidth="1"/>
    <col min="17" max="17" width="6.7109375" bestFit="1" customWidth="1"/>
    <col min="18" max="18" width="16.28515625" bestFit="1" customWidth="1"/>
    <col min="19" max="19" width="16.140625" bestFit="1" customWidth="1"/>
    <col min="20" max="20" width="24.5703125" bestFit="1" customWidth="1"/>
    <col min="21" max="21" width="6.140625" bestFit="1" customWidth="1"/>
    <col min="22" max="22" width="8.140625" bestFit="1" customWidth="1"/>
    <col min="23" max="23" width="10" bestFit="1" customWidth="1"/>
    <col min="24" max="24" width="15" customWidth="1"/>
    <col min="25" max="25" width="8" bestFit="1" customWidth="1"/>
    <col min="26" max="26" width="9.85546875" bestFit="1" customWidth="1"/>
    <col min="27" max="27" width="15.42578125" bestFit="1" customWidth="1"/>
    <col min="28" max="28" width="10.28515625" bestFit="1" customWidth="1"/>
    <col min="29" max="29" width="10.140625" bestFit="1" customWidth="1"/>
    <col min="30" max="30" width="21.140625" bestFit="1" customWidth="1"/>
    <col min="31" max="31" width="8.28515625" bestFit="1" customWidth="1"/>
    <col min="32" max="32" width="8.140625" bestFit="1" customWidth="1"/>
    <col min="33" max="33" width="10.5703125" bestFit="1" customWidth="1"/>
    <col min="34" max="34" width="9.28515625" bestFit="1" customWidth="1"/>
    <col min="35" max="35" width="8.140625" bestFit="1" customWidth="1"/>
    <col min="36" max="36" width="7.85546875" bestFit="1" customWidth="1"/>
  </cols>
  <sheetData>
    <row r="1" spans="1:36" x14ac:dyDescent="0.25">
      <c r="A1" s="2" t="s">
        <v>53</v>
      </c>
      <c r="B1" s="2" t="s">
        <v>122</v>
      </c>
      <c r="C1" s="2" t="s">
        <v>54</v>
      </c>
      <c r="D1" s="2" t="s">
        <v>55</v>
      </c>
      <c r="E1" s="2" t="s">
        <v>56</v>
      </c>
      <c r="F1" s="2" t="s">
        <v>57</v>
      </c>
      <c r="G1" s="2" t="s">
        <v>58</v>
      </c>
      <c r="H1" s="2" t="s">
        <v>59</v>
      </c>
      <c r="I1" s="2" t="s">
        <v>60</v>
      </c>
      <c r="J1" s="2" t="s">
        <v>61</v>
      </c>
      <c r="K1" s="2" t="s">
        <v>62</v>
      </c>
      <c r="L1" s="2" t="s">
        <v>63</v>
      </c>
      <c r="M1" s="2" t="s">
        <v>64</v>
      </c>
      <c r="N1" s="2" t="s">
        <v>65</v>
      </c>
      <c r="O1" s="2" t="s">
        <v>66</v>
      </c>
      <c r="P1" s="2" t="s">
        <v>67</v>
      </c>
      <c r="Q1" s="2" t="s">
        <v>69</v>
      </c>
      <c r="R1" s="2" t="s">
        <v>70</v>
      </c>
      <c r="S1" s="2" t="s">
        <v>71</v>
      </c>
      <c r="T1" s="2" t="s">
        <v>72</v>
      </c>
      <c r="U1" s="2" t="s">
        <v>73</v>
      </c>
      <c r="V1" s="2" t="s">
        <v>74</v>
      </c>
      <c r="W1" s="2" t="s">
        <v>75</v>
      </c>
      <c r="X1" s="2" t="s">
        <v>76</v>
      </c>
      <c r="Y1" s="2" t="s">
        <v>77</v>
      </c>
      <c r="Z1" s="2" t="s">
        <v>78</v>
      </c>
      <c r="AA1" s="2" t="s">
        <v>79</v>
      </c>
      <c r="AB1" s="2" t="s">
        <v>80</v>
      </c>
      <c r="AC1" s="2" t="s">
        <v>81</v>
      </c>
      <c r="AD1" s="2" t="s">
        <v>82</v>
      </c>
      <c r="AE1" s="2" t="s">
        <v>83</v>
      </c>
      <c r="AF1" s="2" t="s">
        <v>84</v>
      </c>
      <c r="AG1" s="2" t="s">
        <v>85</v>
      </c>
      <c r="AH1" s="2" t="s">
        <v>86</v>
      </c>
      <c r="AI1" s="2" t="s">
        <v>87</v>
      </c>
      <c r="AJ1" s="2" t="s">
        <v>88</v>
      </c>
    </row>
    <row r="2" spans="1:36" x14ac:dyDescent="0.25">
      <c r="A2" s="2" t="s">
        <v>89</v>
      </c>
      <c r="B2" s="2" t="s">
        <v>89</v>
      </c>
      <c r="C2" s="2" t="s">
        <v>89</v>
      </c>
      <c r="D2" s="2" t="s">
        <v>90</v>
      </c>
      <c r="E2" s="2" t="s">
        <v>90</v>
      </c>
      <c r="F2" s="2" t="s">
        <v>21</v>
      </c>
      <c r="G2" s="2" t="s">
        <v>21</v>
      </c>
      <c r="H2" s="2" t="s">
        <v>21</v>
      </c>
      <c r="I2" s="2" t="s">
        <v>21</v>
      </c>
      <c r="J2" s="2" t="s">
        <v>89</v>
      </c>
      <c r="K2" s="2" t="s">
        <v>21</v>
      </c>
      <c r="L2" s="2" t="s">
        <v>89</v>
      </c>
      <c r="M2" s="2" t="s">
        <v>89</v>
      </c>
      <c r="N2" s="2" t="s">
        <v>89</v>
      </c>
      <c r="O2" s="2" t="s">
        <v>0</v>
      </c>
      <c r="P2" s="2" t="s">
        <v>0</v>
      </c>
      <c r="Q2" s="2"/>
      <c r="R2" s="2"/>
      <c r="S2" s="2"/>
      <c r="T2" s="2"/>
      <c r="U2" s="2" t="s">
        <v>0</v>
      </c>
      <c r="V2" s="2" t="s">
        <v>0</v>
      </c>
      <c r="W2" s="2"/>
      <c r="X2" s="2"/>
      <c r="Y2" s="2" t="s">
        <v>0</v>
      </c>
      <c r="Z2" s="2" t="s">
        <v>0</v>
      </c>
      <c r="AA2" s="2"/>
      <c r="AB2" s="2" t="s">
        <v>0</v>
      </c>
      <c r="AC2" s="2" t="s">
        <v>91</v>
      </c>
      <c r="AD2" s="2"/>
      <c r="AE2" s="2" t="s">
        <v>0</v>
      </c>
      <c r="AF2" s="2" t="s">
        <v>0</v>
      </c>
      <c r="AG2" s="2"/>
      <c r="AH2" s="2" t="s">
        <v>0</v>
      </c>
      <c r="AI2" s="2" t="s">
        <v>0</v>
      </c>
      <c r="AJ2" s="2" t="s">
        <v>0</v>
      </c>
    </row>
    <row r="3" spans="1:36" x14ac:dyDescent="0.25">
      <c r="A3" t="s">
        <v>92</v>
      </c>
      <c r="B3" t="s">
        <v>123</v>
      </c>
      <c r="C3" t="s">
        <v>124</v>
      </c>
      <c r="D3">
        <v>10</v>
      </c>
      <c r="E3">
        <v>7</v>
      </c>
      <c r="F3">
        <v>20</v>
      </c>
      <c r="G3">
        <v>10</v>
      </c>
      <c r="H3">
        <v>20</v>
      </c>
      <c r="I3">
        <v>10</v>
      </c>
      <c r="J3" t="s">
        <v>94</v>
      </c>
      <c r="K3">
        <v>10</v>
      </c>
      <c r="L3" t="s">
        <v>100</v>
      </c>
      <c r="M3" t="s">
        <v>125</v>
      </c>
      <c r="N3" t="s">
        <v>126</v>
      </c>
      <c r="O3">
        <v>160</v>
      </c>
      <c r="P3">
        <v>360</v>
      </c>
      <c r="Q3">
        <v>1</v>
      </c>
    </row>
    <row r="4" spans="1:36" x14ac:dyDescent="0.25">
      <c r="A4" t="s">
        <v>92</v>
      </c>
      <c r="B4" t="s">
        <v>123</v>
      </c>
      <c r="C4" t="s">
        <v>124</v>
      </c>
      <c r="D4">
        <v>10</v>
      </c>
      <c r="E4">
        <v>7</v>
      </c>
      <c r="F4">
        <v>5</v>
      </c>
      <c r="G4">
        <v>0</v>
      </c>
      <c r="H4">
        <v>20</v>
      </c>
      <c r="I4">
        <v>10</v>
      </c>
      <c r="J4" t="s">
        <v>94</v>
      </c>
      <c r="K4">
        <v>20</v>
      </c>
      <c r="L4" t="s">
        <v>100</v>
      </c>
      <c r="M4" t="s">
        <v>127</v>
      </c>
      <c r="N4" t="s">
        <v>128</v>
      </c>
      <c r="O4">
        <v>160</v>
      </c>
      <c r="P4">
        <v>360</v>
      </c>
      <c r="Q4">
        <v>1</v>
      </c>
    </row>
    <row r="5" spans="1:36" x14ac:dyDescent="0.25">
      <c r="A5" t="s">
        <v>92</v>
      </c>
      <c r="B5" t="s">
        <v>123</v>
      </c>
      <c r="C5" t="s">
        <v>124</v>
      </c>
      <c r="D5">
        <v>12</v>
      </c>
      <c r="E5">
        <v>7</v>
      </c>
      <c r="F5">
        <v>10</v>
      </c>
      <c r="G5">
        <v>0</v>
      </c>
      <c r="H5">
        <v>20</v>
      </c>
      <c r="I5">
        <v>10</v>
      </c>
      <c r="J5" t="s">
        <v>98</v>
      </c>
      <c r="K5">
        <v>15</v>
      </c>
      <c r="L5" t="s">
        <v>99</v>
      </c>
      <c r="M5" t="s">
        <v>127</v>
      </c>
      <c r="N5" t="s">
        <v>128</v>
      </c>
      <c r="O5">
        <v>160</v>
      </c>
      <c r="P5">
        <v>360</v>
      </c>
      <c r="Q5">
        <v>1</v>
      </c>
    </row>
    <row r="6" spans="1:36" x14ac:dyDescent="0.25">
      <c r="A6" t="s">
        <v>92</v>
      </c>
      <c r="B6" t="s">
        <v>123</v>
      </c>
      <c r="C6" t="s">
        <v>124</v>
      </c>
      <c r="D6">
        <v>5</v>
      </c>
      <c r="E6">
        <v>7</v>
      </c>
      <c r="F6">
        <v>15</v>
      </c>
      <c r="G6">
        <v>10</v>
      </c>
      <c r="H6">
        <v>0</v>
      </c>
      <c r="I6">
        <v>0</v>
      </c>
      <c r="J6" t="s">
        <v>48</v>
      </c>
      <c r="K6">
        <v>0</v>
      </c>
      <c r="L6" t="s">
        <v>95</v>
      </c>
      <c r="M6" t="s">
        <v>125</v>
      </c>
      <c r="N6" t="s">
        <v>129</v>
      </c>
      <c r="O6">
        <v>160</v>
      </c>
      <c r="P6">
        <v>360</v>
      </c>
      <c r="Q6">
        <v>1</v>
      </c>
    </row>
    <row r="7" spans="1:36" x14ac:dyDescent="0.25">
      <c r="A7" t="s">
        <v>92</v>
      </c>
      <c r="B7" t="s">
        <v>123</v>
      </c>
      <c r="C7" t="s">
        <v>124</v>
      </c>
      <c r="D7">
        <v>10</v>
      </c>
      <c r="E7">
        <v>7</v>
      </c>
      <c r="F7">
        <v>10</v>
      </c>
      <c r="G7">
        <v>10</v>
      </c>
      <c r="H7">
        <v>0</v>
      </c>
      <c r="I7">
        <v>0</v>
      </c>
      <c r="J7" t="s">
        <v>48</v>
      </c>
      <c r="K7">
        <v>0</v>
      </c>
      <c r="L7" t="s">
        <v>100</v>
      </c>
      <c r="M7" t="s">
        <v>125</v>
      </c>
      <c r="N7" t="s">
        <v>130</v>
      </c>
      <c r="O7">
        <v>160</v>
      </c>
      <c r="P7">
        <v>360</v>
      </c>
      <c r="Q7">
        <v>1</v>
      </c>
    </row>
    <row r="10" spans="1:36" x14ac:dyDescent="0.25">
      <c r="B10" s="4"/>
      <c r="C10" s="4"/>
    </row>
    <row r="17" spans="2:3" x14ac:dyDescent="0.25">
      <c r="B17" s="4"/>
      <c r="C17" s="4"/>
    </row>
    <row r="18" spans="2:3" x14ac:dyDescent="0.25">
      <c r="B18" s="11"/>
      <c r="C18" s="11"/>
    </row>
    <row r="21" spans="2:3" x14ac:dyDescent="0.25">
      <c r="B21" s="4"/>
      <c r="C21" s="4"/>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8"/>
  <dimension ref="A1:T9"/>
  <sheetViews>
    <sheetView workbookViewId="0">
      <selection activeCell="D3" sqref="D3"/>
    </sheetView>
  </sheetViews>
  <sheetFormatPr defaultRowHeight="15" x14ac:dyDescent="0.25"/>
  <cols>
    <col min="1" max="1" width="11.7109375" customWidth="1"/>
    <col min="2" max="2" width="13.140625" bestFit="1" customWidth="1"/>
    <col min="3" max="3" width="10.7109375" bestFit="1" customWidth="1"/>
    <col min="4" max="4" width="13.7109375" customWidth="1"/>
    <col min="5" max="5" width="14.42578125" bestFit="1" customWidth="1"/>
    <col min="6" max="6" width="10.140625" bestFit="1" customWidth="1"/>
    <col min="7" max="7" width="11.28515625" bestFit="1" customWidth="1"/>
    <col min="8" max="8" width="10.140625" bestFit="1" customWidth="1"/>
    <col min="9" max="9" width="11.140625" bestFit="1" customWidth="1"/>
    <col min="10" max="10" width="15" bestFit="1" customWidth="1"/>
    <col min="11" max="12" width="10.140625" bestFit="1" customWidth="1"/>
    <col min="13" max="13" width="10.140625" customWidth="1"/>
    <col min="14" max="14" width="10.140625" bestFit="1" customWidth="1"/>
    <col min="15" max="15" width="12.5703125" bestFit="1" customWidth="1"/>
    <col min="16" max="16" width="10.42578125" customWidth="1"/>
    <col min="17" max="17" width="10.140625" bestFit="1" customWidth="1"/>
    <col min="18" max="18" width="18" bestFit="1" customWidth="1"/>
    <col min="19" max="19" width="17.5703125" bestFit="1" customWidth="1"/>
    <col min="20" max="20" width="9.85546875" bestFit="1" customWidth="1"/>
  </cols>
  <sheetData>
    <row r="1" spans="1:20" x14ac:dyDescent="0.25">
      <c r="A1" s="1" t="s">
        <v>105</v>
      </c>
      <c r="B1" s="1" t="s">
        <v>106</v>
      </c>
      <c r="C1" s="1" t="s">
        <v>107</v>
      </c>
      <c r="D1" s="1" t="s">
        <v>108</v>
      </c>
      <c r="E1" s="1" t="s">
        <v>109</v>
      </c>
      <c r="F1" s="1" t="s">
        <v>110</v>
      </c>
      <c r="G1" s="1" t="s">
        <v>111</v>
      </c>
      <c r="H1" s="1" t="s">
        <v>112</v>
      </c>
      <c r="I1" s="1" t="s">
        <v>113</v>
      </c>
      <c r="J1" s="1" t="s">
        <v>114</v>
      </c>
      <c r="K1" s="1" t="s">
        <v>115</v>
      </c>
      <c r="L1" s="1" t="s">
        <v>116</v>
      </c>
      <c r="M1" s="1" t="s">
        <v>117</v>
      </c>
      <c r="N1" s="1" t="s">
        <v>118</v>
      </c>
      <c r="O1" s="1" t="s">
        <v>119</v>
      </c>
      <c r="P1" s="1" t="s">
        <v>131</v>
      </c>
      <c r="Q1" s="1" t="s">
        <v>132</v>
      </c>
      <c r="R1" s="1" t="s">
        <v>194</v>
      </c>
      <c r="S1" s="1" t="s">
        <v>120</v>
      </c>
      <c r="T1" s="1" t="s">
        <v>121</v>
      </c>
    </row>
    <row r="2" spans="1:20" x14ac:dyDescent="0.25">
      <c r="A2" s="1" t="s">
        <v>91</v>
      </c>
      <c r="B2" s="1" t="s">
        <v>91</v>
      </c>
      <c r="C2" s="1" t="s">
        <v>91</v>
      </c>
      <c r="D2" s="1" t="s">
        <v>91</v>
      </c>
      <c r="E2" s="1"/>
      <c r="F2" s="1" t="s">
        <v>91</v>
      </c>
      <c r="G2" s="1" t="s">
        <v>91</v>
      </c>
      <c r="H2" s="1" t="s">
        <v>91</v>
      </c>
      <c r="I2" s="1" t="s">
        <v>91</v>
      </c>
      <c r="J2" s="1"/>
      <c r="K2" s="1" t="s">
        <v>91</v>
      </c>
      <c r="L2" s="1" t="s">
        <v>91</v>
      </c>
      <c r="M2" s="1" t="s">
        <v>91</v>
      </c>
      <c r="N2" s="1" t="s">
        <v>91</v>
      </c>
      <c r="O2" s="1"/>
      <c r="P2" s="1" t="s">
        <v>91</v>
      </c>
      <c r="Q2" s="1" t="s">
        <v>91</v>
      </c>
      <c r="R2" s="1"/>
      <c r="S2" s="1"/>
      <c r="T2" s="1"/>
    </row>
    <row r="3" spans="1:20" x14ac:dyDescent="0.25">
      <c r="A3" s="12">
        <v>1.4</v>
      </c>
      <c r="B3" s="12">
        <v>1.25</v>
      </c>
      <c r="C3" s="12">
        <v>1.4</v>
      </c>
      <c r="D3" s="12">
        <v>0.27777777777777779</v>
      </c>
      <c r="E3" s="13">
        <v>0.9146373469536595</v>
      </c>
    </row>
    <row r="4" spans="1:20" x14ac:dyDescent="0.25">
      <c r="A4" s="12">
        <v>1.346153846153846</v>
      </c>
      <c r="B4" s="12">
        <v>1.25</v>
      </c>
      <c r="C4" s="12">
        <v>1.346153846153846</v>
      </c>
      <c r="D4" s="12">
        <v>0.27777777777777779</v>
      </c>
      <c r="E4" s="13">
        <v>0.95122284083180597</v>
      </c>
    </row>
    <row r="5" spans="1:20" x14ac:dyDescent="0.25">
      <c r="A5" s="12"/>
      <c r="B5" s="12"/>
      <c r="C5" s="12"/>
      <c r="D5" s="12"/>
      <c r="E5" s="13"/>
    </row>
    <row r="6" spans="1:20" x14ac:dyDescent="0.25">
      <c r="A6" s="12"/>
      <c r="B6" s="12"/>
      <c r="C6" s="12"/>
      <c r="D6" s="12"/>
      <c r="E6" s="13"/>
    </row>
    <row r="7" spans="1:20" x14ac:dyDescent="0.25">
      <c r="A7" s="12"/>
      <c r="B7" s="12"/>
      <c r="C7" s="12"/>
      <c r="D7" s="12"/>
      <c r="E7" s="13"/>
    </row>
    <row r="8" spans="1:20" x14ac:dyDescent="0.25">
      <c r="A8" s="12"/>
      <c r="B8" s="12"/>
      <c r="C8" s="12"/>
      <c r="D8" s="12"/>
      <c r="E8" s="13"/>
    </row>
    <row r="9" spans="1:20" x14ac:dyDescent="0.25">
      <c r="A9" s="12"/>
      <c r="B9" s="12"/>
      <c r="C9" s="12"/>
      <c r="D9" s="12"/>
      <c r="E9" s="13"/>
    </row>
  </sheetData>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9"/>
  <dimension ref="A1:AJ24"/>
  <sheetViews>
    <sheetView workbookViewId="0">
      <selection activeCell="A15" sqref="A15"/>
    </sheetView>
  </sheetViews>
  <sheetFormatPr defaultRowHeight="15" x14ac:dyDescent="0.25"/>
  <cols>
    <col min="1" max="1" width="17.28515625" bestFit="1" customWidth="1"/>
    <col min="2" max="2" width="22" bestFit="1" customWidth="1"/>
    <col min="3" max="3" width="17.42578125" bestFit="1" customWidth="1"/>
    <col min="4" max="4" width="10.7109375" bestFit="1" customWidth="1"/>
    <col min="5" max="5" width="10.5703125" bestFit="1" customWidth="1"/>
    <col min="6" max="6" width="10" bestFit="1" customWidth="1"/>
    <col min="7" max="7" width="9.85546875" bestFit="1" customWidth="1"/>
    <col min="8" max="8" width="14.140625" bestFit="1" customWidth="1"/>
    <col min="9" max="9" width="14" bestFit="1" customWidth="1"/>
    <col min="10" max="10" width="15.7109375" bestFit="1" customWidth="1"/>
    <col min="11" max="11" width="8.5703125" bestFit="1" customWidth="1"/>
    <col min="12" max="12" width="17.42578125" bestFit="1" customWidth="1"/>
    <col min="13" max="13" width="17.28515625" bestFit="1" customWidth="1"/>
    <col min="14" max="14" width="20.7109375" bestFit="1" customWidth="1"/>
    <col min="15" max="16" width="6.42578125" bestFit="1" customWidth="1"/>
    <col min="17" max="17" width="6.7109375" bestFit="1" customWidth="1"/>
    <col min="18" max="18" width="16.28515625" bestFit="1" customWidth="1"/>
    <col min="19" max="19" width="16.140625" bestFit="1" customWidth="1"/>
    <col min="20" max="20" width="24.5703125" bestFit="1" customWidth="1"/>
    <col min="21" max="21" width="6.140625" bestFit="1" customWidth="1"/>
    <col min="22" max="22" width="8.140625" bestFit="1" customWidth="1"/>
    <col min="23" max="23" width="10" bestFit="1" customWidth="1"/>
    <col min="24" max="24" width="15" customWidth="1"/>
    <col min="25" max="25" width="8" bestFit="1" customWidth="1"/>
    <col min="26" max="26" width="9.85546875" bestFit="1" customWidth="1"/>
    <col min="27" max="27" width="15.42578125" bestFit="1" customWidth="1"/>
    <col min="28" max="28" width="10.28515625" bestFit="1" customWidth="1"/>
    <col min="29" max="29" width="10.140625" bestFit="1" customWidth="1"/>
    <col min="30" max="30" width="21.140625" bestFit="1" customWidth="1"/>
    <col min="31" max="31" width="8.28515625" bestFit="1" customWidth="1"/>
    <col min="32" max="32" width="8.140625" bestFit="1" customWidth="1"/>
    <col min="33" max="33" width="10.5703125" bestFit="1" customWidth="1"/>
    <col min="34" max="34" width="9.28515625" bestFit="1" customWidth="1"/>
    <col min="35" max="35" width="8.140625" bestFit="1" customWidth="1"/>
    <col min="36" max="36" width="7.85546875" bestFit="1" customWidth="1"/>
  </cols>
  <sheetData>
    <row r="1" spans="1:36" x14ac:dyDescent="0.25">
      <c r="A1" s="2" t="s">
        <v>53</v>
      </c>
      <c r="B1" s="2" t="s">
        <v>122</v>
      </c>
      <c r="C1" s="2" t="s">
        <v>54</v>
      </c>
      <c r="D1" s="2" t="s">
        <v>55</v>
      </c>
      <c r="E1" s="2" t="s">
        <v>56</v>
      </c>
      <c r="F1" s="2" t="s">
        <v>57</v>
      </c>
      <c r="G1" s="2" t="s">
        <v>58</v>
      </c>
      <c r="H1" s="2" t="s">
        <v>59</v>
      </c>
      <c r="I1" s="2" t="s">
        <v>60</v>
      </c>
      <c r="J1" s="2" t="s">
        <v>61</v>
      </c>
      <c r="K1" s="2" t="s">
        <v>62</v>
      </c>
      <c r="L1" s="2" t="s">
        <v>63</v>
      </c>
      <c r="M1" s="2" t="s">
        <v>64</v>
      </c>
      <c r="N1" s="2" t="s">
        <v>65</v>
      </c>
      <c r="O1" s="2" t="s">
        <v>66</v>
      </c>
      <c r="P1" s="2" t="s">
        <v>67</v>
      </c>
      <c r="Q1" s="2" t="s">
        <v>69</v>
      </c>
      <c r="R1" s="2" t="s">
        <v>70</v>
      </c>
      <c r="S1" s="2" t="s">
        <v>71</v>
      </c>
      <c r="T1" s="2" t="s">
        <v>72</v>
      </c>
      <c r="U1" s="2" t="s">
        <v>73</v>
      </c>
      <c r="V1" s="2" t="s">
        <v>74</v>
      </c>
      <c r="W1" s="2" t="s">
        <v>75</v>
      </c>
      <c r="X1" s="2" t="s">
        <v>76</v>
      </c>
      <c r="Y1" s="2" t="s">
        <v>77</v>
      </c>
      <c r="Z1" s="2" t="s">
        <v>78</v>
      </c>
      <c r="AA1" s="2" t="s">
        <v>79</v>
      </c>
      <c r="AB1" s="2" t="s">
        <v>80</v>
      </c>
      <c r="AC1" s="2" t="s">
        <v>81</v>
      </c>
      <c r="AD1" s="2" t="s">
        <v>82</v>
      </c>
      <c r="AE1" s="2" t="s">
        <v>83</v>
      </c>
      <c r="AF1" s="2" t="s">
        <v>84</v>
      </c>
      <c r="AG1" s="2" t="s">
        <v>85</v>
      </c>
      <c r="AH1" s="2" t="s">
        <v>86</v>
      </c>
      <c r="AI1" s="2" t="s">
        <v>87</v>
      </c>
      <c r="AJ1" s="2" t="s">
        <v>88</v>
      </c>
    </row>
    <row r="2" spans="1:36" x14ac:dyDescent="0.25">
      <c r="A2" s="2" t="s">
        <v>89</v>
      </c>
      <c r="B2" s="2" t="s">
        <v>89</v>
      </c>
      <c r="C2" s="2" t="s">
        <v>89</v>
      </c>
      <c r="D2" s="2" t="s">
        <v>90</v>
      </c>
      <c r="E2" s="2" t="s">
        <v>90</v>
      </c>
      <c r="F2" s="2" t="s">
        <v>21</v>
      </c>
      <c r="G2" s="2" t="s">
        <v>21</v>
      </c>
      <c r="H2" s="2" t="s">
        <v>21</v>
      </c>
      <c r="I2" s="2" t="s">
        <v>21</v>
      </c>
      <c r="J2" s="2" t="s">
        <v>89</v>
      </c>
      <c r="K2" s="2" t="s">
        <v>21</v>
      </c>
      <c r="L2" s="2" t="s">
        <v>89</v>
      </c>
      <c r="M2" s="2" t="s">
        <v>89</v>
      </c>
      <c r="N2" s="2" t="s">
        <v>89</v>
      </c>
      <c r="O2" s="2" t="s">
        <v>0</v>
      </c>
      <c r="P2" s="2" t="s">
        <v>0</v>
      </c>
      <c r="Q2" s="2"/>
      <c r="R2" s="2"/>
      <c r="S2" s="2"/>
      <c r="T2" s="2"/>
      <c r="U2" s="2" t="s">
        <v>0</v>
      </c>
      <c r="V2" s="2" t="s">
        <v>0</v>
      </c>
      <c r="W2" s="2"/>
      <c r="X2" s="2"/>
      <c r="Y2" s="2" t="s">
        <v>0</v>
      </c>
      <c r="Z2" s="2" t="s">
        <v>0</v>
      </c>
      <c r="AA2" s="2"/>
      <c r="AB2" s="2" t="s">
        <v>0</v>
      </c>
      <c r="AC2" s="2" t="s">
        <v>91</v>
      </c>
      <c r="AD2" s="2"/>
      <c r="AE2" s="2" t="s">
        <v>0</v>
      </c>
      <c r="AF2" s="2" t="s">
        <v>0</v>
      </c>
      <c r="AG2" s="2"/>
      <c r="AH2" s="2" t="s">
        <v>0</v>
      </c>
      <c r="AI2" s="2" t="s">
        <v>0</v>
      </c>
      <c r="AJ2" s="2" t="s">
        <v>0</v>
      </c>
    </row>
    <row r="3" spans="1:36" x14ac:dyDescent="0.25">
      <c r="A3" t="s">
        <v>92</v>
      </c>
      <c r="B3" t="s">
        <v>133</v>
      </c>
      <c r="C3" t="s">
        <v>134</v>
      </c>
      <c r="D3">
        <v>3</v>
      </c>
      <c r="E3">
        <v>1.2</v>
      </c>
      <c r="F3">
        <v>15</v>
      </c>
      <c r="G3">
        <v>5</v>
      </c>
      <c r="H3">
        <v>2</v>
      </c>
      <c r="I3">
        <v>0.7</v>
      </c>
      <c r="J3" t="s">
        <v>48</v>
      </c>
      <c r="K3">
        <v>0</v>
      </c>
      <c r="L3" t="s">
        <v>95</v>
      </c>
      <c r="M3" t="s">
        <v>135</v>
      </c>
      <c r="N3" t="s">
        <v>136</v>
      </c>
      <c r="O3">
        <v>60</v>
      </c>
      <c r="P3">
        <v>245</v>
      </c>
      <c r="Q3">
        <v>2</v>
      </c>
    </row>
    <row r="4" spans="1:36" x14ac:dyDescent="0.25">
      <c r="A4" t="s">
        <v>92</v>
      </c>
      <c r="B4" t="s">
        <v>133</v>
      </c>
      <c r="C4" t="s">
        <v>134</v>
      </c>
      <c r="D4">
        <v>3</v>
      </c>
      <c r="E4">
        <v>1.2</v>
      </c>
      <c r="F4">
        <v>15</v>
      </c>
      <c r="G4">
        <v>5</v>
      </c>
      <c r="H4">
        <v>2</v>
      </c>
      <c r="I4">
        <v>0.7</v>
      </c>
      <c r="J4" t="s">
        <v>94</v>
      </c>
      <c r="K4">
        <v>20</v>
      </c>
      <c r="L4" t="s">
        <v>95</v>
      </c>
      <c r="M4" t="s">
        <v>135</v>
      </c>
      <c r="N4" t="s">
        <v>136</v>
      </c>
      <c r="O4">
        <v>60</v>
      </c>
      <c r="P4">
        <v>245</v>
      </c>
      <c r="Q4">
        <v>2</v>
      </c>
    </row>
    <row r="5" spans="1:36" x14ac:dyDescent="0.25">
      <c r="A5" t="s">
        <v>92</v>
      </c>
      <c r="B5" t="s">
        <v>133</v>
      </c>
      <c r="C5" t="s">
        <v>134</v>
      </c>
      <c r="D5">
        <v>3</v>
      </c>
      <c r="E5">
        <v>1.2</v>
      </c>
      <c r="F5">
        <v>15</v>
      </c>
      <c r="G5">
        <v>5</v>
      </c>
      <c r="H5">
        <v>2</v>
      </c>
      <c r="I5">
        <v>0.7</v>
      </c>
      <c r="J5" t="s">
        <v>94</v>
      </c>
      <c r="K5">
        <v>20</v>
      </c>
      <c r="L5" t="s">
        <v>95</v>
      </c>
      <c r="M5" t="s">
        <v>135</v>
      </c>
      <c r="N5" t="s">
        <v>137</v>
      </c>
      <c r="O5">
        <v>72</v>
      </c>
      <c r="P5">
        <v>275</v>
      </c>
      <c r="Q5">
        <v>2</v>
      </c>
    </row>
    <row r="13" spans="1:36" x14ac:dyDescent="0.25">
      <c r="A13" s="4"/>
      <c r="B13" s="4"/>
      <c r="C13" s="4"/>
    </row>
    <row r="20" spans="1:3" x14ac:dyDescent="0.25">
      <c r="A20" s="4"/>
      <c r="B20" s="4"/>
      <c r="C20" s="4"/>
    </row>
    <row r="21" spans="1:3" x14ac:dyDescent="0.25">
      <c r="A21" s="11"/>
      <c r="B21" s="11"/>
      <c r="C21" s="11"/>
    </row>
    <row r="24" spans="1:3" x14ac:dyDescent="0.25">
      <c r="A24" s="4"/>
      <c r="B24" s="4"/>
      <c r="C24" s="4"/>
    </row>
  </sheetData>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0"/>
  <dimension ref="A1:T9"/>
  <sheetViews>
    <sheetView workbookViewId="0">
      <selection activeCell="F5" sqref="F5"/>
    </sheetView>
  </sheetViews>
  <sheetFormatPr defaultRowHeight="15" x14ac:dyDescent="0.25"/>
  <cols>
    <col min="1" max="1" width="10.85546875" bestFit="1" customWidth="1"/>
    <col min="2" max="2" width="13.140625" bestFit="1" customWidth="1"/>
    <col min="3" max="3" width="10.7109375" bestFit="1" customWidth="1"/>
    <col min="4" max="4" width="12.85546875" bestFit="1" customWidth="1"/>
    <col min="5" max="5" width="8.28515625" bestFit="1" customWidth="1"/>
    <col min="6" max="6" width="10.140625" bestFit="1" customWidth="1"/>
    <col min="7" max="7" width="11.28515625" bestFit="1" customWidth="1"/>
    <col min="8" max="8" width="10.140625" bestFit="1" customWidth="1"/>
    <col min="9" max="9" width="11.140625" bestFit="1" customWidth="1"/>
    <col min="10" max="10" width="6.140625" bestFit="1" customWidth="1"/>
    <col min="11" max="12" width="10.140625" bestFit="1" customWidth="1"/>
    <col min="13" max="13" width="10.140625" customWidth="1"/>
    <col min="14" max="14" width="10.140625" bestFit="1" customWidth="1"/>
    <col min="15" max="15" width="5.42578125" bestFit="1" customWidth="1"/>
    <col min="16" max="16" width="10.42578125" customWidth="1"/>
    <col min="17" max="17" width="10.140625" bestFit="1" customWidth="1"/>
    <col min="18" max="18" width="7.28515625" bestFit="1" customWidth="1"/>
    <col min="19" max="19" width="8.5703125" bestFit="1" customWidth="1"/>
    <col min="20" max="20" width="9.85546875" bestFit="1" customWidth="1"/>
  </cols>
  <sheetData>
    <row r="1" spans="1:20" x14ac:dyDescent="0.25">
      <c r="A1" s="1" t="s">
        <v>105</v>
      </c>
      <c r="B1" s="1" t="s">
        <v>106</v>
      </c>
      <c r="C1" s="1" t="s">
        <v>107</v>
      </c>
      <c r="D1" s="1" t="s">
        <v>108</v>
      </c>
      <c r="E1" s="1" t="s">
        <v>109</v>
      </c>
      <c r="F1" s="1" t="s">
        <v>110</v>
      </c>
      <c r="G1" s="1" t="s">
        <v>111</v>
      </c>
      <c r="H1" s="1" t="s">
        <v>112</v>
      </c>
      <c r="I1" s="1" t="s">
        <v>113</v>
      </c>
      <c r="J1" s="1" t="s">
        <v>114</v>
      </c>
      <c r="K1" s="1" t="s">
        <v>115</v>
      </c>
      <c r="L1" s="1" t="s">
        <v>116</v>
      </c>
      <c r="M1" s="1" t="s">
        <v>117</v>
      </c>
      <c r="N1" s="1" t="s">
        <v>118</v>
      </c>
      <c r="O1" s="1" t="s">
        <v>119</v>
      </c>
      <c r="P1" s="1" t="s">
        <v>131</v>
      </c>
      <c r="Q1" s="1" t="s">
        <v>132</v>
      </c>
      <c r="R1" s="1" t="s">
        <v>194</v>
      </c>
      <c r="S1" s="1" t="s">
        <v>120</v>
      </c>
      <c r="T1" s="1" t="s">
        <v>121</v>
      </c>
    </row>
    <row r="2" spans="1:20" x14ac:dyDescent="0.25">
      <c r="A2" s="1" t="s">
        <v>91</v>
      </c>
      <c r="B2" s="1" t="s">
        <v>91</v>
      </c>
      <c r="C2" s="1" t="s">
        <v>91</v>
      </c>
      <c r="D2" s="1" t="s">
        <v>91</v>
      </c>
      <c r="E2" s="1"/>
      <c r="F2" s="1" t="s">
        <v>91</v>
      </c>
      <c r="G2" s="1" t="s">
        <v>91</v>
      </c>
      <c r="H2" s="1" t="s">
        <v>91</v>
      </c>
      <c r="I2" s="1" t="s">
        <v>91</v>
      </c>
      <c r="J2" s="1"/>
      <c r="K2" s="1" t="s">
        <v>91</v>
      </c>
      <c r="L2" s="1" t="s">
        <v>91</v>
      </c>
      <c r="M2" s="1" t="s">
        <v>91</v>
      </c>
      <c r="N2" s="1" t="s">
        <v>91</v>
      </c>
      <c r="O2" s="1"/>
      <c r="P2" s="1" t="s">
        <v>91</v>
      </c>
      <c r="Q2" s="1" t="s">
        <v>91</v>
      </c>
      <c r="R2" s="1"/>
      <c r="S2" s="1"/>
      <c r="T2" s="1"/>
    </row>
    <row r="3" spans="1:20" x14ac:dyDescent="0.25">
      <c r="A3" s="13"/>
      <c r="B3" s="13"/>
      <c r="C3" s="13"/>
    </row>
    <row r="4" spans="1:20" x14ac:dyDescent="0.25">
      <c r="A4" s="13"/>
      <c r="B4" s="13"/>
      <c r="C4" s="13"/>
    </row>
    <row r="5" spans="1:20" x14ac:dyDescent="0.25">
      <c r="A5" s="13"/>
      <c r="B5" s="13"/>
      <c r="C5" s="13"/>
    </row>
    <row r="6" spans="1:20" x14ac:dyDescent="0.25">
      <c r="A6" s="13"/>
      <c r="B6" s="13"/>
      <c r="C6" s="13"/>
    </row>
    <row r="7" spans="1:20" x14ac:dyDescent="0.25">
      <c r="A7" s="13"/>
      <c r="B7" s="13"/>
      <c r="C7" s="13"/>
    </row>
    <row r="8" spans="1:20" x14ac:dyDescent="0.25">
      <c r="A8" s="13"/>
      <c r="B8" s="13"/>
      <c r="C8" s="13"/>
    </row>
    <row r="9" spans="1:20" x14ac:dyDescent="0.25">
      <c r="A9" s="13"/>
      <c r="B9" s="13"/>
      <c r="C9" s="13"/>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A84E1A459CD45499E3BA177E48E09CA" ma:contentTypeVersion="18" ma:contentTypeDescription="Create a new document." ma:contentTypeScope="" ma:versionID="95927bfa3266b4a028b8f27cb4c86ba3">
  <xsd:schema xmlns:xsd="http://www.w3.org/2001/XMLSchema" xmlns:xs="http://www.w3.org/2001/XMLSchema" xmlns:p="http://schemas.microsoft.com/office/2006/metadata/properties" xmlns:ns2="676e8468-ee85-40bb-98fa-96c3c2e5d426" xmlns:ns3="19178072-7812-429b-8f9e-06e500e2ccab" targetNamespace="http://schemas.microsoft.com/office/2006/metadata/properties" ma:root="true" ma:fieldsID="856e589b78658a5108b6b3df15fdb2b6" ns2:_="" ns3:_="">
    <xsd:import namespace="676e8468-ee85-40bb-98fa-96c3c2e5d426"/>
    <xsd:import namespace="19178072-7812-429b-8f9e-06e500e2ccab"/>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DateTaken" minOccurs="0"/>
                <xsd:element ref="ns2:MediaServiceAutoKeyPoints" minOccurs="0"/>
                <xsd:element ref="ns2:MediaServiceKeyPoints" minOccurs="0"/>
                <xsd:element ref="ns2:MediaLengthInSeconds" minOccurs="0"/>
                <xsd:element ref="ns2:MediaServiceLocation" minOccurs="0"/>
                <xsd:element ref="ns3:TaxCatchAll" minOccurs="0"/>
                <xsd:element ref="ns2: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6e8468-ee85-40bb-98fa-96c3c2e5d4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aa651873-6787-4fc8-b976-6761b30eb3a4"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9178072-7812-429b-8f9e-06e500e2ccab"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1" nillable="true" ma:displayName="Taxonomy Catch All Column" ma:hidden="true" ma:list="{af417320-4a6f-411e-92ee-de356e6b1644}" ma:internalName="TaxCatchAll" ma:showField="CatchAllData" ma:web="19178072-7812-429b-8f9e-06e500e2cca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9178072-7812-429b-8f9e-06e500e2ccab" xsi:nil="true"/>
    <lcf76f155ced4ddcb4097134ff3c332f xmlns="676e8468-ee85-40bb-98fa-96c3c2e5d42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F5E684C-BF5E-46E9-BC5C-CD3D06E547E0}"/>
</file>

<file path=customXml/itemProps2.xml><?xml version="1.0" encoding="utf-8"?>
<ds:datastoreItem xmlns:ds="http://schemas.openxmlformats.org/officeDocument/2006/customXml" ds:itemID="{BA1E11C6-52BB-4971-98FD-AFA3F0A924D9}">
  <ds:schemaRefs>
    <ds:schemaRef ds:uri="http://schemas.microsoft.com/sharepoint/v3/contenttype/forms"/>
  </ds:schemaRefs>
</ds:datastoreItem>
</file>

<file path=customXml/itemProps3.xml><?xml version="1.0" encoding="utf-8"?>
<ds:datastoreItem xmlns:ds="http://schemas.openxmlformats.org/officeDocument/2006/customXml" ds:itemID="{E331EE24-FA5A-4BC2-A86D-52BE0EDC4C45}">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22</vt:i4>
      </vt:variant>
    </vt:vector>
  </HeadingPairs>
  <TitlesOfParts>
    <vt:vector size="96" baseType="lpstr">
      <vt:lpstr>Examples</vt:lpstr>
      <vt:lpstr>Steel beam torsion input (EC)</vt:lpstr>
      <vt:lpstr>Steel beam torsion output (EC)</vt:lpstr>
      <vt:lpstr>Hollowcore input (EN1992)</vt:lpstr>
      <vt:lpstr>Hollowcore output (EN1992)</vt:lpstr>
      <vt:lpstr>Precast splice input (EN1992)</vt:lpstr>
      <vt:lpstr>Precast splice output (EN1992)</vt:lpstr>
      <vt:lpstr>Flitch input (NDS)</vt:lpstr>
      <vt:lpstr>Flitch output (NDS)</vt:lpstr>
      <vt:lpstr>Sawn lumber input (NDS)</vt:lpstr>
      <vt:lpstr>Sawn lumber output (NDS)</vt:lpstr>
      <vt:lpstr>Pile cap steel input (EC)</vt:lpstr>
      <vt:lpstr>Pile cap steel output (EC)</vt:lpstr>
      <vt:lpstr>Pile cap concrete input (EC)</vt:lpstr>
      <vt:lpstr>Pile cap concrete output (EC)</vt:lpstr>
      <vt:lpstr>RC column input (EN1992)</vt:lpstr>
      <vt:lpstr>RC column output (EN1992)</vt:lpstr>
      <vt:lpstr>Pile cap concrete input (ACI)</vt:lpstr>
      <vt:lpstr>Pile cap concrete output (ACI)</vt:lpstr>
      <vt:lpstr>Pile cap steel input (ACI)</vt:lpstr>
      <vt:lpstr>Pile cap steel output (ACI)</vt:lpstr>
      <vt:lpstr>RC nib input (EN1992)</vt:lpstr>
      <vt:lpstr>RC nib output (EN1992)</vt:lpstr>
      <vt:lpstr>RC beam torsion design (EN1992)</vt:lpstr>
      <vt:lpstr>Half-joint input (EN1992)</vt:lpstr>
      <vt:lpstr>Half-joint output (EN1992)</vt:lpstr>
      <vt:lpstr>Precast bearing input (EN1992)</vt:lpstr>
      <vt:lpstr>Precast bearing output (EN1992)</vt:lpstr>
      <vt:lpstr>RC stair input (EN1992)</vt:lpstr>
      <vt:lpstr>RC stair output (EN1992)</vt:lpstr>
      <vt:lpstr>Precast stair input (EN1992)</vt:lpstr>
      <vt:lpstr>Precast stair output (EN1992)</vt:lpstr>
      <vt:lpstr>Precast wall input (EN1992)</vt:lpstr>
      <vt:lpstr>Precast wall output (EN1992)</vt:lpstr>
      <vt:lpstr>Precast column input (EN1992)</vt:lpstr>
      <vt:lpstr>Precast column output (EN1992)</vt:lpstr>
      <vt:lpstr>Precast beam input (EN1992)</vt:lpstr>
      <vt:lpstr>Precast beam output (EN1992)</vt:lpstr>
      <vt:lpstr>Steel fire pro input EN1993</vt:lpstr>
      <vt:lpstr>Steel fire pro output EN1993</vt:lpstr>
      <vt:lpstr>Steel fire unpro input EN1993</vt:lpstr>
      <vt:lpstr>Steel fire unpro output EN1993</vt:lpstr>
      <vt:lpstr>Composite input (NDS)</vt:lpstr>
      <vt:lpstr>Composite output (NDS)</vt:lpstr>
      <vt:lpstr>Glulam input (NDS)</vt:lpstr>
      <vt:lpstr>Glulam output (NDS)</vt:lpstr>
      <vt:lpstr>Rolling load analysis (SI)</vt:lpstr>
      <vt:lpstr>Rolling load analysis (US)</vt:lpstr>
      <vt:lpstr>Input 1 Beam (EN1993)</vt:lpstr>
      <vt:lpstr>Input 2 Beam (EN1993)</vt:lpstr>
      <vt:lpstr>Output 1 Beam (EN1993)</vt:lpstr>
      <vt:lpstr>Output 2 Beam (EN1993)</vt:lpstr>
      <vt:lpstr>RC beam input (EN1992)</vt:lpstr>
      <vt:lpstr>RC beam output (EN1992)</vt:lpstr>
      <vt:lpstr>Calculation</vt:lpstr>
      <vt:lpstr>DATA</vt:lpstr>
      <vt:lpstr>OUTPUT</vt:lpstr>
      <vt:lpstr>Bearing pressures (US units)</vt:lpstr>
      <vt:lpstr>RC beam input (ACI318)</vt:lpstr>
      <vt:lpstr>RC beam output (ACI318)</vt:lpstr>
      <vt:lpstr>RC beam input (AS3600)</vt:lpstr>
      <vt:lpstr>RC beam output (AS3600)</vt:lpstr>
      <vt:lpstr>Timber input (EN1995)</vt:lpstr>
      <vt:lpstr>Timber output (EN1995)</vt:lpstr>
      <vt:lpstr>Steel input (EN1993)</vt:lpstr>
      <vt:lpstr>Steel output (EN1993)</vt:lpstr>
      <vt:lpstr>Steel input (AISC360)</vt:lpstr>
      <vt:lpstr>Steel output (AISC360)</vt:lpstr>
      <vt:lpstr>Steel input (AS4100)</vt:lpstr>
      <vt:lpstr>Steel output (AS4100)</vt:lpstr>
      <vt:lpstr>Glulam input (EN1995)</vt:lpstr>
      <vt:lpstr>Glulam output (EN1995)</vt:lpstr>
      <vt:lpstr>LVL input (EN1995)</vt:lpstr>
      <vt:lpstr>LVL output (EN1995)</vt:lpstr>
      <vt:lpstr>Calculation.Example</vt:lpstr>
      <vt:lpstr>Calculation.FileName</vt:lpstr>
      <vt:lpstr>Calculation.InputSheetName</vt:lpstr>
      <vt:lpstr>Calculation.ItemName</vt:lpstr>
      <vt:lpstr>Calculation.Options.BatchMode</vt:lpstr>
      <vt:lpstr>Calculation.Options.EndRow</vt:lpstr>
      <vt:lpstr>Calculation.Options.FinishPrompt</vt:lpstr>
      <vt:lpstr>Calculation.Options.InputReadOnly</vt:lpstr>
      <vt:lpstr>Calculation.Options.OutputDocuments</vt:lpstr>
      <vt:lpstr>Calculation.Options.OutputFolder</vt:lpstr>
      <vt:lpstr>Calculation.Options.PreCalculateExpressions</vt:lpstr>
      <vt:lpstr>Calculation.Options.ShowUserInterface</vt:lpstr>
      <vt:lpstr>Calculation.Options.StartRow</vt:lpstr>
      <vt:lpstr>Calculation.Options.UpdateInput</vt:lpstr>
      <vt:lpstr>Calculation.OutputSheetName</vt:lpstr>
      <vt:lpstr>Calculation.Version</vt:lpstr>
      <vt:lpstr>Examples.Column.FileName</vt:lpstr>
      <vt:lpstr>Examples.Column.InputSheet</vt:lpstr>
      <vt:lpstr>Examples.Column.ItemName</vt:lpstr>
      <vt:lpstr>Examples.Column.Name</vt:lpstr>
      <vt:lpstr>Examples.Column.OutputSheet</vt:lpstr>
      <vt:lpstr>StatusText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Tedds Batch Design</dc:title>
  <dc:creator>Trimble</dc:creator>
  <cp:keywords/>
  <dc:description>Batch design any Tedds calculation</dc:description>
  <cp:lastModifiedBy>David Potter</cp:lastModifiedBy>
  <dcterms:created xsi:type="dcterms:W3CDTF">2016-09-20T14:53:13Z</dcterms:created>
  <dcterms:modified xsi:type="dcterms:W3CDTF">2021-03-03T14:25:40Z</dcterms:modified>
  <cp:contentStatus>General release</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1.0.14</vt:lpwstr>
  </property>
  <property fmtid="{D5CDD505-2E9C-101B-9397-08002B2CF9AE}" pid="3" name="MSIP_Label_40f4e3bb-2789-472c-845a-7cbc76f0c7b4_Enabled">
    <vt:lpwstr>True</vt:lpwstr>
  </property>
  <property fmtid="{D5CDD505-2E9C-101B-9397-08002B2CF9AE}" pid="4" name="MSIP_Label_40f4e3bb-2789-472c-845a-7cbc76f0c7b4_SiteId">
    <vt:lpwstr>8cb09124-b2c7-4dab-89ab-b3781aa4e809</vt:lpwstr>
  </property>
  <property fmtid="{D5CDD505-2E9C-101B-9397-08002B2CF9AE}" pid="5" name="MSIP_Label_40f4e3bb-2789-472c-845a-7cbc76f0c7b4_Owner">
    <vt:lpwstr>david.potter1@costain.com</vt:lpwstr>
  </property>
  <property fmtid="{D5CDD505-2E9C-101B-9397-08002B2CF9AE}" pid="6" name="MSIP_Label_40f4e3bb-2789-472c-845a-7cbc76f0c7b4_SetDate">
    <vt:lpwstr>2020-12-14T21:16:25.1427711Z</vt:lpwstr>
  </property>
  <property fmtid="{D5CDD505-2E9C-101B-9397-08002B2CF9AE}" pid="7" name="MSIP_Label_40f4e3bb-2789-472c-845a-7cbc76f0c7b4_Name">
    <vt:lpwstr>Internal communication</vt:lpwstr>
  </property>
  <property fmtid="{D5CDD505-2E9C-101B-9397-08002B2CF9AE}" pid="8" name="MSIP_Label_40f4e3bb-2789-472c-845a-7cbc76f0c7b4_Application">
    <vt:lpwstr>Microsoft Azure Information Protection</vt:lpwstr>
  </property>
  <property fmtid="{D5CDD505-2E9C-101B-9397-08002B2CF9AE}" pid="9" name="MSIP_Label_40f4e3bb-2789-472c-845a-7cbc76f0c7b4_ActionId">
    <vt:lpwstr>8121a8b2-ae8c-4c0c-bd82-187a480167eb</vt:lpwstr>
  </property>
  <property fmtid="{D5CDD505-2E9C-101B-9397-08002B2CF9AE}" pid="10" name="MSIP_Label_40f4e3bb-2789-472c-845a-7cbc76f0c7b4_Extended_MSFT_Method">
    <vt:lpwstr>Automatic</vt:lpwstr>
  </property>
  <property fmtid="{D5CDD505-2E9C-101B-9397-08002B2CF9AE}" pid="11" name="Sensitivity">
    <vt:lpwstr>Internal communication</vt:lpwstr>
  </property>
  <property fmtid="{D5CDD505-2E9C-101B-9397-08002B2CF9AE}" pid="12" name="ContentTypeId">
    <vt:lpwstr>0x0101007A84E1A459CD45499E3BA177E48E09CA</vt:lpwstr>
  </property>
  <property fmtid="{D5CDD505-2E9C-101B-9397-08002B2CF9AE}" pid="13" name="MediaServiceImageTags">
    <vt:lpwstr/>
  </property>
</Properties>
</file>